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openxmlformats-officedocument.oleObject" PartName="/xl/embeddings/oleObject4.bin"/>
  <Override ContentType="application/vnd.openxmlformats-officedocument.oleObject" PartName="/xl/embeddings/oleObject3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 Actual" sheetId="1" r:id="rId4"/>
    <sheet state="visible" name="Лист2" sheetId="2" r:id="rId5"/>
    <sheet state="visible" name="SEPTEMBRIE" sheetId="3" r:id="rId6"/>
    <sheet state="visible" name="Martie " sheetId="4" r:id="rId7"/>
    <sheet state="visible" name="Noiembrie incasari de baza" sheetId="5" r:id="rId8"/>
    <sheet state="visible" name="Noiembrie Incasari" sheetId="6" r:id="rId9"/>
    <sheet state="visible" name="Incasari" sheetId="7" r:id="rId10"/>
    <sheet state="visible" name="UZ casnic" sheetId="8" r:id="rId11"/>
    <sheet state="visible" name="Transport" sheetId="9" r:id="rId12"/>
    <sheet state="visible" name="Necesitatile bisericii" sheetId="10" r:id="rId13"/>
  </sheets>
  <definedNames>
    <definedName hidden="1" localSheetId="2" name="_xlnm._FilterDatabase">SEPTEMBRIE!$R$3:$W$78</definedName>
  </definedNames>
  <calcPr/>
  <extLst>
    <ext uri="GoogleSheetsCustomDataVersion2">
      <go:sheetsCustomData xmlns:go="http://customooxmlschemas.google.com/" r:id="rId14" roundtripDataChecksum="DuzlqzDNobxBZFOdJOCukP4uN+yMs3Rr4QArnqPByWs="/>
    </ext>
  </extLst>
</workbook>
</file>

<file path=xl/sharedStrings.xml><?xml version="1.0" encoding="utf-8"?>
<sst xmlns="http://schemas.openxmlformats.org/spreadsheetml/2006/main" count="1499" uniqueCount="408">
  <si>
    <t xml:space="preserve">    </t>
  </si>
  <si>
    <t xml:space="preserve"> </t>
  </si>
  <si>
    <t xml:space="preserve">Evidența incasărilor </t>
  </si>
  <si>
    <t>Cheltuieli stadion</t>
  </si>
  <si>
    <t>DATORII BLL</t>
  </si>
  <si>
    <t>Constructie</t>
  </si>
  <si>
    <t>Igiena</t>
  </si>
  <si>
    <t>Tineret</t>
  </si>
  <si>
    <t>Echipa</t>
  </si>
  <si>
    <t>Data</t>
  </si>
  <si>
    <t>Data achitări</t>
  </si>
  <si>
    <t>Suma</t>
  </si>
  <si>
    <t>Datorii</t>
  </si>
  <si>
    <t>Bani in +</t>
  </si>
  <si>
    <t>Obiecții</t>
  </si>
  <si>
    <t>Denumire</t>
  </si>
  <si>
    <t>Obiectii</t>
  </si>
  <si>
    <t>Restituit</t>
  </si>
  <si>
    <t>Mai Trebuie</t>
  </si>
  <si>
    <t>Liviu</t>
  </si>
  <si>
    <t>Oală Oleg Salariu Noiembrie</t>
  </si>
  <si>
    <t>BLL Budca goroh Borsh</t>
  </si>
  <si>
    <t>cec 300,50 moica 100era</t>
  </si>
  <si>
    <t>Bll Clei marmura</t>
  </si>
  <si>
    <t>Bll Pachete Gunoi</t>
  </si>
  <si>
    <t>Bll Conferinta tineri Donduseni Transport 3 Masini</t>
  </si>
  <si>
    <t>Arcadii</t>
  </si>
  <si>
    <t>Oală Oleg Salariu Decembrie</t>
  </si>
  <si>
    <t>BLL Seminar Romani</t>
  </si>
  <si>
    <t>cec</t>
  </si>
  <si>
    <t>BLL cablu curent Mama si copilul</t>
  </si>
  <si>
    <t>Bll servetele Maini</t>
  </si>
  <si>
    <t>Cristi</t>
  </si>
  <si>
    <t>BLL Canon Incarcare</t>
  </si>
  <si>
    <t>Bll Bercia Spuma ferestre</t>
  </si>
  <si>
    <t>Bll Stergar maini, solutie podea, hartie vc , pahare, clor ....</t>
  </si>
  <si>
    <t>Gheorghe Sectia</t>
  </si>
  <si>
    <t>Automat stadion</t>
  </si>
  <si>
    <t>BLL Transport</t>
  </si>
  <si>
    <t>Bll Burete Usa</t>
  </si>
  <si>
    <t>Alexandru Blogher</t>
  </si>
  <si>
    <t>BLL Pahare Belizna</t>
  </si>
  <si>
    <t>cecul de 565 lei</t>
  </si>
  <si>
    <t>Plitociai clei</t>
  </si>
  <si>
    <t>Vladimir</t>
  </si>
  <si>
    <t>BLL Timer si Vopsea 1 l</t>
  </si>
  <si>
    <t>Total</t>
  </si>
  <si>
    <t>BLL Pahare igiena</t>
  </si>
  <si>
    <t>2 cecuri 831lei si 198</t>
  </si>
  <si>
    <t>BLL Sapun si baterii</t>
  </si>
  <si>
    <t>ceec 256</t>
  </si>
  <si>
    <t>Media</t>
  </si>
  <si>
    <t xml:space="preserve">BLL Cartuse kaycero </t>
  </si>
  <si>
    <t>cec 494</t>
  </si>
  <si>
    <t>Stiubieni</t>
  </si>
  <si>
    <t>BLL diubeli</t>
  </si>
  <si>
    <t>Propresenter cuvinte aplicatia licenta</t>
  </si>
  <si>
    <t>BLL manere usi</t>
  </si>
  <si>
    <t>Bll Hartie de vc</t>
  </si>
  <si>
    <t>Bll Printer invitatii ucraineni</t>
  </si>
  <si>
    <t>Bll apa conector</t>
  </si>
  <si>
    <t>Gajula</t>
  </si>
  <si>
    <t>Ajutor Ucrainean Anatol</t>
  </si>
  <si>
    <t xml:space="preserve">100 transport 132 leacuri tusa </t>
  </si>
  <si>
    <t>BLL Pahare servetele</t>
  </si>
  <si>
    <t>Baiat din Cafenea Barbos Lung</t>
  </si>
  <si>
    <t>Stadion Ata</t>
  </si>
  <si>
    <t>BLL Pachete Gunoi</t>
  </si>
  <si>
    <t>Vlad Ucraina</t>
  </si>
  <si>
    <t xml:space="preserve">Bll Baterii cec cu pixuri </t>
  </si>
  <si>
    <t>cec de 189,50</t>
  </si>
  <si>
    <t>Oala Ianuarie Salariu 1</t>
  </si>
  <si>
    <t xml:space="preserve">BLL Ana Mariea fete curat var </t>
  </si>
  <si>
    <t>Omul lui Arcadii</t>
  </si>
  <si>
    <t>Oala Ianuarie Salariu 2</t>
  </si>
  <si>
    <t>BLL plicuri hartie</t>
  </si>
  <si>
    <t>Oala Ianuarie Salariu 3</t>
  </si>
  <si>
    <t>Oala Ianuarie Salariu 4</t>
  </si>
  <si>
    <t>Arcadii barbat</t>
  </si>
  <si>
    <t>Lacat stadion</t>
  </si>
  <si>
    <t>2 baieti</t>
  </si>
  <si>
    <t xml:space="preserve">Anatol Slang </t>
  </si>
  <si>
    <t>Barbat Arcadii</t>
  </si>
  <si>
    <t>Frate Anatol</t>
  </si>
  <si>
    <t>Oala Ianuarie Salariu 5</t>
  </si>
  <si>
    <t>Oala Ianuarie Salariu 6</t>
  </si>
  <si>
    <t>Oala Ianuarie Salariu 7</t>
  </si>
  <si>
    <t>Oala Ianuarie Salariu 8 Final</t>
  </si>
  <si>
    <t>si 2000 sau luat la sora Tanea  23.01.2026</t>
  </si>
  <si>
    <t>Baiat de la Munteanu</t>
  </si>
  <si>
    <t>Oala Februarie Salariu 1</t>
  </si>
  <si>
    <t>Oala Februarie Salariu 2</t>
  </si>
  <si>
    <t>Oala Februarie Salariu 3</t>
  </si>
  <si>
    <t>Taxi Patani</t>
  </si>
  <si>
    <t>Oala Februarie Salariu 4</t>
  </si>
  <si>
    <t>Oala Februarie Salariu 5</t>
  </si>
  <si>
    <t>Baieat de la Cristi</t>
  </si>
  <si>
    <t>Oala Februarie Salariu 6</t>
  </si>
  <si>
    <t>Oala Februarie Salariu 7</t>
  </si>
  <si>
    <t>Oala Februarie Salariu 8</t>
  </si>
  <si>
    <t>Oala Februarie Salariu 9</t>
  </si>
  <si>
    <t>Oala Februarie Salariu 10 Final</t>
  </si>
  <si>
    <t xml:space="preserve">-15 lei </t>
  </si>
  <si>
    <t>Oala Martie Salariu 1</t>
  </si>
  <si>
    <t>Oala Martie Salariu 2</t>
  </si>
  <si>
    <t>Oala Martie Salariu 3</t>
  </si>
  <si>
    <t>Oala Martie Salariu 4</t>
  </si>
  <si>
    <t>Oala Martie Salariu 5</t>
  </si>
  <si>
    <t>Oala Martie Salariu 6</t>
  </si>
  <si>
    <t>Oala Martie Salariu 7</t>
  </si>
  <si>
    <t>Oala Martie Salariu 8</t>
  </si>
  <si>
    <t>Patani cu Marc</t>
  </si>
  <si>
    <t>Oala Martie Salariu 9</t>
  </si>
  <si>
    <t>Stadion Manuse</t>
  </si>
  <si>
    <t>Budca reparat roata</t>
  </si>
  <si>
    <t>Oala Martie Salariu 10</t>
  </si>
  <si>
    <t>Oala Martie Salariu 11</t>
  </si>
  <si>
    <t xml:space="preserve">Imprumut OALA OLEG </t>
  </si>
  <si>
    <t>mama Copil</t>
  </si>
  <si>
    <t>baietii noi</t>
  </si>
  <si>
    <t>Semion Antrenament</t>
  </si>
  <si>
    <t>Oala Aprilie salariu 1</t>
  </si>
  <si>
    <t>Oala Aprilie salariu 2</t>
  </si>
  <si>
    <t>Oala Aprilie salariu 3</t>
  </si>
  <si>
    <t>Artiom</t>
  </si>
  <si>
    <t>Oala Aprilie salariu 4</t>
  </si>
  <si>
    <t>Oala Aprilie salariu 5</t>
  </si>
  <si>
    <t>Oala Aprilie salariu 6</t>
  </si>
  <si>
    <t>Vasea</t>
  </si>
  <si>
    <t>Oala Aprilie salariu 7</t>
  </si>
  <si>
    <t>Oleg Echipa</t>
  </si>
  <si>
    <t>Baieat Tanar</t>
  </si>
  <si>
    <t>Denis Arcadii</t>
  </si>
  <si>
    <t>Dima</t>
  </si>
  <si>
    <t>Baietii in Bute</t>
  </si>
  <si>
    <t>Baietii dimineata</t>
  </si>
  <si>
    <t>Dima Arcadii</t>
  </si>
  <si>
    <t>Medicii</t>
  </si>
  <si>
    <t>Irlandej</t>
  </si>
  <si>
    <t>Total Datorie</t>
  </si>
  <si>
    <t>Total actual in casă</t>
  </si>
  <si>
    <t>Actual minus din casa</t>
  </si>
  <si>
    <t>Trebuie să fie</t>
  </si>
  <si>
    <t>Cat a mai ramas din salariu</t>
  </si>
  <si>
    <t>2000 sau luat la sora Tanea  23.01.2026</t>
  </si>
  <si>
    <t>Transmis</t>
  </si>
  <si>
    <t>total</t>
  </si>
  <si>
    <t>Calculator</t>
  </si>
  <si>
    <t xml:space="preserve">BANCNOTĂ DE </t>
  </si>
  <si>
    <t>1,5,10 #</t>
  </si>
  <si>
    <t>20 #</t>
  </si>
  <si>
    <t>50 #</t>
  </si>
  <si>
    <t>100, 200 #</t>
  </si>
  <si>
    <t>BĂNUȚI DE</t>
  </si>
  <si>
    <t>1 #</t>
  </si>
  <si>
    <t>2 #</t>
  </si>
  <si>
    <t>5 #</t>
  </si>
  <si>
    <t>10 #</t>
  </si>
  <si>
    <t>Total:</t>
  </si>
  <si>
    <t xml:space="preserve">Verificare corespundere Total Actual -(minus) cheltuielile </t>
  </si>
  <si>
    <t>Verificare</t>
  </si>
  <si>
    <t>Incasari total</t>
  </si>
  <si>
    <t>Stadion cheltuieli total</t>
  </si>
  <si>
    <t>Bll Datorii Total</t>
  </si>
  <si>
    <t>Cat trebuie sa fie in casa cu datoria Restituita</t>
  </si>
  <si>
    <t>Cat trebuie sa fie in casa minus Datorie BLL</t>
  </si>
  <si>
    <t xml:space="preserve">Cat este in casa </t>
  </si>
  <si>
    <t>Diferența (trebuie sa fie 0)</t>
  </si>
  <si>
    <t>NU AJUNG</t>
  </si>
  <si>
    <t>La moment suma Coincide ?</t>
  </si>
  <si>
    <t xml:space="preserve">Total Incasari </t>
  </si>
  <si>
    <t>Total Cheltuieli</t>
  </si>
  <si>
    <t>Total Venit</t>
  </si>
  <si>
    <t>Perioada</t>
  </si>
  <si>
    <t>SUMA</t>
  </si>
  <si>
    <t>TOTAL</t>
  </si>
  <si>
    <t>Denis</t>
  </si>
  <si>
    <t>Oală Oleg Salariu Septembrie</t>
  </si>
  <si>
    <t>BLL budca Glinjeni Inmormantare</t>
  </si>
  <si>
    <t>fara cec</t>
  </si>
  <si>
    <t>Vladimir ???</t>
  </si>
  <si>
    <t xml:space="preserve">Bll Solutii si Plicuri </t>
  </si>
  <si>
    <t>40 fara cec</t>
  </si>
  <si>
    <t>Bll Propresenter</t>
  </si>
  <si>
    <t>Gajula Precedent</t>
  </si>
  <si>
    <r>
      <rPr>
        <rFont val="Calibri"/>
        <b/>
        <color theme="1"/>
        <sz val="18.0"/>
      </rPr>
      <t>FINAL</t>
    </r>
    <r>
      <rPr>
        <rFont val="Calibri"/>
        <color theme="1"/>
        <sz val="18.0"/>
      </rPr>
      <t xml:space="preserve"> Salariu Septembrie</t>
    </r>
  </si>
  <si>
    <t>Oală Oleg Salariu Octombrie</t>
  </si>
  <si>
    <t xml:space="preserve">Vladimir </t>
  </si>
  <si>
    <t>Frate Anatol Medici Foi</t>
  </si>
  <si>
    <t>Lampi Biblioteca si bucatarie plata pentru lumina</t>
  </si>
  <si>
    <t>Smoala Teren Drum</t>
  </si>
  <si>
    <t>Stadion Vopsea verde</t>
  </si>
  <si>
    <t>Apa Troi</t>
  </si>
  <si>
    <t>Alexandru TikTok</t>
  </si>
  <si>
    <t>BAIETII Noi</t>
  </si>
  <si>
    <t>BAIETII Noi Artiom</t>
  </si>
  <si>
    <t>Gajula Datorie</t>
  </si>
  <si>
    <t>Copii</t>
  </si>
  <si>
    <t>Baietii noi Vineri</t>
  </si>
  <si>
    <t>Denis Marti</t>
  </si>
  <si>
    <t xml:space="preserve"> Cristi Ganceri</t>
  </si>
  <si>
    <t>???Echipa</t>
  </si>
  <si>
    <t>Lumina Stadion</t>
  </si>
  <si>
    <t>PAHARE SERVETELE</t>
  </si>
  <si>
    <t>DA</t>
  </si>
  <si>
    <t>Oleg Salariu Aprilie</t>
  </si>
  <si>
    <t>Misa Bercia</t>
  </si>
  <si>
    <t>Plasa</t>
  </si>
  <si>
    <t>Soluție cârpe hartie vc</t>
  </si>
  <si>
    <t>Medici</t>
  </si>
  <si>
    <t>Cleme pentru lumina</t>
  </si>
  <si>
    <t>Hamut si tros</t>
  </si>
  <si>
    <t>Praf de spalat Anatol</t>
  </si>
  <si>
    <t>Calgon Sapun</t>
  </si>
  <si>
    <t>Oleg echipa</t>
  </si>
  <si>
    <t>Copie cheie medie</t>
  </si>
  <si>
    <t>Iura Budca</t>
  </si>
  <si>
    <t>achitat 500</t>
  </si>
  <si>
    <t>Misa Bercia corn ferestre</t>
  </si>
  <si>
    <t>Profil Metal</t>
  </si>
  <si>
    <t>Cofea lapte ospitalitate</t>
  </si>
  <si>
    <t>Vopsea teren 3-1</t>
  </si>
  <si>
    <t>Libertate datorie sa cumpart cu 60 le mai ult</t>
  </si>
  <si>
    <t>Cristi Campionat</t>
  </si>
  <si>
    <t>Stadion pompa</t>
  </si>
  <si>
    <t>reparatie scara si mancare mesteri</t>
  </si>
  <si>
    <t xml:space="preserve"> White Spirt</t>
  </si>
  <si>
    <t xml:space="preserve">reparatie scara vopsea alba </t>
  </si>
  <si>
    <t>bll pachete de gunoi</t>
  </si>
  <si>
    <t>Bll hartie igienica</t>
  </si>
  <si>
    <t>Burghiu stadion</t>
  </si>
  <si>
    <t>Bll plicuri</t>
  </si>
  <si>
    <t>Disc fier</t>
  </si>
  <si>
    <t xml:space="preserve">Motorina </t>
  </si>
  <si>
    <t>Drapel RM</t>
  </si>
  <si>
    <t xml:space="preserve">BLL apa caplea </t>
  </si>
  <si>
    <t>BLL pentru Soareci capcana</t>
  </si>
  <si>
    <t>Stadion franghie alba</t>
  </si>
  <si>
    <t>Oleg Salariu Aprilie Gata</t>
  </si>
  <si>
    <t>Anatol Ganceri</t>
  </si>
  <si>
    <t>baietii noi COSTEA</t>
  </si>
  <si>
    <t>Oleg Salariu Mai</t>
  </si>
  <si>
    <t>baietii noi joi</t>
  </si>
  <si>
    <t>Sora Tanea</t>
  </si>
  <si>
    <t>Costea</t>
  </si>
  <si>
    <t>Crsiti</t>
  </si>
  <si>
    <t>Vladimir Dima</t>
  </si>
  <si>
    <t>Oleg Salariu Iunie</t>
  </si>
  <si>
    <t>Trimer Benzina si sarma</t>
  </si>
  <si>
    <t>Pancarte fumat</t>
  </si>
  <si>
    <t>Oleg Imprumut salariu iukie</t>
  </si>
  <si>
    <t>Oleg Salariu Iulie</t>
  </si>
  <si>
    <t>Oală Oleg Imprumut</t>
  </si>
  <si>
    <t>Motorina Irlandeji Aqupark</t>
  </si>
  <si>
    <t>Oleg Salariu August</t>
  </si>
  <si>
    <t>Motorina Orhei</t>
  </si>
  <si>
    <t>Denis Jos</t>
  </si>
  <si>
    <t>Bani ne declarati in +</t>
  </si>
  <si>
    <t>Oleg Salariu August Final</t>
  </si>
  <si>
    <t>Ulei Trimer</t>
  </si>
  <si>
    <t>American mancare Anatol</t>
  </si>
  <si>
    <t>Baietii lui VLAD</t>
  </si>
  <si>
    <t>Baietii lui Marinesti</t>
  </si>
  <si>
    <t>American Gheorghe</t>
  </si>
  <si>
    <t>Baietii lui Munteanu</t>
  </si>
  <si>
    <t>UN patan de la Arcadii</t>
  </si>
  <si>
    <t>Alin de la Cristi</t>
  </si>
  <si>
    <t>?iohu23</t>
  </si>
  <si>
    <t>Sora Taena</t>
  </si>
  <si>
    <t>Salariul 1 noiembrie</t>
  </si>
  <si>
    <t>Salariul 2 noiembrie</t>
  </si>
  <si>
    <t>Stas</t>
  </si>
  <si>
    <t>Salariul 3 noiembrie</t>
  </si>
  <si>
    <t>Salariul 4 noiembrie</t>
  </si>
  <si>
    <t>salariul 5 noiembrie</t>
  </si>
  <si>
    <t>Gata Noiembrie</t>
  </si>
  <si>
    <t>Salriul 1 deccembrie</t>
  </si>
  <si>
    <t>Cuiere stadion</t>
  </si>
  <si>
    <t>Salariul 2 decembrie</t>
  </si>
  <si>
    <t>Salariul 3 decembrie</t>
  </si>
  <si>
    <t>Gata Decembrie</t>
  </si>
  <si>
    <t>Clei pistol</t>
  </si>
  <si>
    <t>Salariul ianuarie</t>
  </si>
  <si>
    <r>
      <rPr>
        <rFont val="Calibri"/>
        <color theme="1"/>
        <sz val="18.0"/>
      </rPr>
      <t xml:space="preserve">Salariul ianuarie </t>
    </r>
    <r>
      <rPr>
        <rFont val="Calibri"/>
        <b/>
        <color theme="1"/>
        <sz val="18.0"/>
      </rPr>
      <t>GATA</t>
    </r>
  </si>
  <si>
    <t>Aparat Contabil</t>
  </si>
  <si>
    <t>O ora jumate</t>
  </si>
  <si>
    <t>Salariu 1 Februarie</t>
  </si>
  <si>
    <t>Salariu 2 Februarie</t>
  </si>
  <si>
    <t>Oleg</t>
  </si>
  <si>
    <t>Salariul 3 februarie</t>
  </si>
  <si>
    <t>Salariul 4 februarie</t>
  </si>
  <si>
    <t>salriul februarie gata</t>
  </si>
  <si>
    <t>Salariu MARTIE</t>
  </si>
  <si>
    <t>Baietii Noi</t>
  </si>
  <si>
    <t>16.30-18:00</t>
  </si>
  <si>
    <t>Artiom Ganceri</t>
  </si>
  <si>
    <t>Echipa lui Vlad</t>
  </si>
  <si>
    <t>Salariu MARTIE final</t>
  </si>
  <si>
    <t>Baietii Noi Anatol</t>
  </si>
  <si>
    <t>Pelenia Baietii</t>
  </si>
  <si>
    <t>Gheorghe</t>
  </si>
  <si>
    <t>BANUTI</t>
  </si>
  <si>
    <r>
      <rPr>
        <rFont val="Calibri"/>
        <color theme="1"/>
        <sz val="11.0"/>
      </rPr>
      <t xml:space="preserve">Salariul ianuarie </t>
    </r>
    <r>
      <rPr>
        <rFont val="Calibri"/>
        <b/>
        <color theme="1"/>
        <sz val="11.0"/>
      </rPr>
      <t>GATA</t>
    </r>
  </si>
  <si>
    <t>BLL Pentru Prize</t>
  </si>
  <si>
    <t>BLL Curățare Fotolii</t>
  </si>
  <si>
    <t>BLL HDMI</t>
  </si>
  <si>
    <t>BLL Soluții chimice</t>
  </si>
  <si>
    <t>Reparație mixer BLL</t>
  </si>
  <si>
    <t>Xerox BLL</t>
  </si>
  <si>
    <t>Covoare BLL</t>
  </si>
  <si>
    <t>BLL hârtie o cutie</t>
  </si>
  <si>
    <t>BLL Verificare contor</t>
  </si>
  <si>
    <t>BLL pahare</t>
  </si>
  <si>
    <t>BLL roti masa cofea</t>
  </si>
  <si>
    <t>BLL 2# copii cheie</t>
  </si>
  <si>
    <t>Pătură masa cofea</t>
  </si>
  <si>
    <t>BLL</t>
  </si>
  <si>
    <t>BLL constructie Bercia</t>
  </si>
  <si>
    <t>BLL pahare si prelungitor scena</t>
  </si>
  <si>
    <t>BLL Domestos Hartie de viceu pahare</t>
  </si>
  <si>
    <t>Media curs aparatura</t>
  </si>
  <si>
    <t xml:space="preserve">BLL pelicula </t>
  </si>
  <si>
    <t>BLL saci pentru pietre</t>
  </si>
  <si>
    <t>BLL mancare lucratori</t>
  </si>
  <si>
    <t>BLL constructie</t>
  </si>
  <si>
    <t>Trebuie restituite</t>
  </si>
  <si>
    <t>Cheltuieli biserica</t>
  </si>
  <si>
    <t>Uz Casnic</t>
  </si>
  <si>
    <t>Transport</t>
  </si>
  <si>
    <t>Necesitatile Bisericii</t>
  </si>
  <si>
    <t>Materiale de constructie</t>
  </si>
  <si>
    <t>Poliția</t>
  </si>
  <si>
    <t>Banii Au fost TRANSMISI</t>
  </si>
  <si>
    <t>Categoria</t>
  </si>
  <si>
    <t>Denumiri</t>
  </si>
  <si>
    <t xml:space="preserve">Salariul 20.08 -23.08 </t>
  </si>
  <si>
    <t>Uz casnic</t>
  </si>
  <si>
    <t>Pahare Global</t>
  </si>
  <si>
    <r>
      <rPr>
        <rFont val="Calibri"/>
        <color theme="1"/>
        <sz val="11.0"/>
      </rPr>
      <t xml:space="preserve">Minge de fotbal </t>
    </r>
    <r>
      <rPr>
        <rFont val="Calibri"/>
        <b/>
        <color theme="1"/>
        <sz val="11.0"/>
      </rPr>
      <t>Molten</t>
    </r>
  </si>
  <si>
    <t>Terminal Pahare</t>
  </si>
  <si>
    <t xml:space="preserve">Salariul 26.08 -30.08 </t>
  </si>
  <si>
    <t>Petrom</t>
  </si>
  <si>
    <t>fără cec</t>
  </si>
  <si>
    <t>Salriu Septembrie</t>
  </si>
  <si>
    <t>Nanu (Sifoane)</t>
  </si>
  <si>
    <t>Pesticide</t>
  </si>
  <si>
    <t>Mărinești Băieții</t>
  </si>
  <si>
    <t>Terminal Igiena</t>
  </si>
  <si>
    <t>Nanu(căldare)</t>
  </si>
  <si>
    <t>Necesitati biserica</t>
  </si>
  <si>
    <t>Flori intrare</t>
  </si>
  <si>
    <t>Salonica Placa tavan</t>
  </si>
  <si>
    <t>Salonica</t>
  </si>
  <si>
    <t>Sacose, belizna</t>
  </si>
  <si>
    <t>Adăugător</t>
  </si>
  <si>
    <t>10 min</t>
  </si>
  <si>
    <t>Solutie Podea</t>
  </si>
  <si>
    <t>Tricouri botez</t>
  </si>
  <si>
    <t>Ceban Ion</t>
  </si>
  <si>
    <t>Fara cec</t>
  </si>
  <si>
    <t>Produse botez</t>
  </si>
  <si>
    <t>Pahare terminal</t>
  </si>
  <si>
    <t>Ariel pernute</t>
  </si>
  <si>
    <t xml:space="preserve">Taxi Sora Natasha </t>
  </si>
  <si>
    <t>Sangerei</t>
  </si>
  <si>
    <t>Baietii noi</t>
  </si>
  <si>
    <t>1,30 min</t>
  </si>
  <si>
    <t xml:space="preserve">Gajula </t>
  </si>
  <si>
    <t>Nu ajung</t>
  </si>
  <si>
    <t>Achitat</t>
  </si>
  <si>
    <r>
      <rPr>
        <rFont val="Calibri"/>
        <color theme="1"/>
        <sz val="11.0"/>
      </rPr>
      <t xml:space="preserve">Minge de fotbal </t>
    </r>
    <r>
      <rPr>
        <rFont val="Calibri"/>
        <b/>
        <color theme="1"/>
        <sz val="11.0"/>
      </rPr>
      <t>Molten</t>
    </r>
  </si>
  <si>
    <t>Plicuri</t>
  </si>
  <si>
    <t>Politia</t>
  </si>
  <si>
    <t>1.3h</t>
  </si>
  <si>
    <t>Salariul doi 1000</t>
  </si>
  <si>
    <t>a doua oara 1000</t>
  </si>
  <si>
    <t>Salariul trei 1000</t>
  </si>
  <si>
    <t>a treia oara</t>
  </si>
  <si>
    <t>Teo Sangerei</t>
  </si>
  <si>
    <t>Salariul 4 1000</t>
  </si>
  <si>
    <t>a 4 oara</t>
  </si>
  <si>
    <t xml:space="preserve">Salariul final </t>
  </si>
  <si>
    <t>total 6k</t>
  </si>
  <si>
    <t>Gheorghe Copii</t>
  </si>
  <si>
    <t>Salariul 1 Octombrie</t>
  </si>
  <si>
    <t>sal 1</t>
  </si>
  <si>
    <t>politia</t>
  </si>
  <si>
    <t>Salariul NR1-500 din octombrie</t>
  </si>
  <si>
    <t>sal 2</t>
  </si>
  <si>
    <t>Salariul NR2 -500 din octombrie</t>
  </si>
  <si>
    <t>sal 3</t>
  </si>
  <si>
    <t>Salariul Nr3 -100 din octombrie</t>
  </si>
  <si>
    <t>sal 4</t>
  </si>
  <si>
    <t>Baietii noi 2</t>
  </si>
  <si>
    <t>Salariul Nr4 -500 din octombrie</t>
  </si>
  <si>
    <t>sal 5</t>
  </si>
  <si>
    <t>Salariul NR5 -1000 din octombrie</t>
  </si>
  <si>
    <t>sal 6</t>
  </si>
  <si>
    <t>Salariul NR6 -400 din octombrie</t>
  </si>
  <si>
    <t>sal 7</t>
  </si>
  <si>
    <t>Salariul Final Octombrie</t>
  </si>
  <si>
    <t>sal 8</t>
  </si>
  <si>
    <t>Baieti de la Dima</t>
  </si>
  <si>
    <t>|</t>
  </si>
  <si>
    <t>Total Salarial din suma transmisa 10375 Lei</t>
  </si>
  <si>
    <t>c x</t>
  </si>
  <si>
    <t>Total spre sora Tanea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</si>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</sst>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yy"/>
    <numFmt numFmtId="165" formatCode="[$-F800]dddd\,\ mmmm\ dd\,\ yyyy"/>
    <numFmt numFmtId="166" formatCode="#,##0.00\ &quot;L&quot;"/>
    <numFmt numFmtId="167" formatCode="_-* #,##0.00\ [$L-819]_-;\-* #,##0.00\ [$L-819]_-;_-* &quot;-&quot;??\ [$L-819]_-;_-@"/>
    <numFmt numFmtId="168" formatCode="[$MDL]#,##0.00"/>
    <numFmt numFmtId="169" formatCode="[$MDL ]#,##0.00"/>
    <numFmt numFmtId="170" formatCode="dddd, mmmm d, yyyy"/>
  </numFmts>
  <fonts count="42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/>
    <font>
      <sz val="26.0"/>
      <color theme="1"/>
      <name val="Calibri"/>
      <scheme val="minor"/>
    </font>
    <font>
      <b/>
      <i/>
      <sz val="18.0"/>
      <color theme="1"/>
      <name val="Calibri"/>
    </font>
    <font>
      <sz val="20.0"/>
      <color theme="1"/>
      <name val="Calibri"/>
    </font>
    <font>
      <sz val="18.0"/>
      <color theme="1"/>
      <name val="Calibri"/>
    </font>
    <font>
      <b/>
      <i/>
      <sz val="18.0"/>
      <color theme="1"/>
      <name val="Times New Roman"/>
    </font>
    <font>
      <b/>
      <sz val="18.0"/>
      <color theme="1"/>
      <name val="Times New Roman"/>
    </font>
    <font>
      <b/>
      <i/>
      <sz val="16.0"/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>
      <b/>
      <sz val="17.0"/>
      <color theme="1"/>
      <name val="Calibri"/>
    </font>
    <font>
      <b/>
      <sz val="17.0"/>
      <color rgb="FFFFFFFF"/>
      <name val="Calibri"/>
    </font>
    <font>
      <sz val="18.0"/>
      <color rgb="FFFFFFFF"/>
      <name val="Calibri"/>
    </font>
    <font>
      <b/>
      <i/>
      <sz val="17.0"/>
      <color theme="1"/>
      <name val="Calibri"/>
    </font>
    <font>
      <b/>
      <i/>
      <sz val="18.0"/>
      <color theme="0"/>
      <name val="Calibri"/>
    </font>
    <font>
      <b/>
      <sz val="19.0"/>
      <color theme="1"/>
      <name val="Calibri"/>
    </font>
    <font>
      <sz val="18.0"/>
      <color theme="0"/>
      <name val="Calibri"/>
    </font>
    <font>
      <i/>
      <sz val="14.0"/>
      <color theme="1"/>
      <name val="Calibri"/>
    </font>
    <font>
      <b/>
      <i/>
      <sz val="14.0"/>
      <color theme="1"/>
      <name val="Calibri"/>
    </font>
    <font>
      <b/>
      <i/>
      <sz val="22.0"/>
      <color theme="1"/>
      <name val="Calibri"/>
    </font>
    <font>
      <sz val="11.0"/>
      <color rgb="FF00B050"/>
      <name val="Calibri"/>
    </font>
    <font>
      <b/>
      <sz val="22.0"/>
      <color theme="1"/>
      <name val="Calibri"/>
    </font>
    <font>
      <b/>
      <i/>
      <sz val="24.0"/>
      <color theme="1"/>
      <name val="Calibri"/>
    </font>
    <font>
      <b/>
      <sz val="20.0"/>
      <color theme="1"/>
      <name val="Calibri"/>
    </font>
    <font>
      <b/>
      <i/>
      <sz val="26.0"/>
      <color theme="1"/>
      <name val="Calibri"/>
    </font>
    <font>
      <b/>
      <i/>
      <sz val="26.0"/>
      <color theme="0"/>
      <name val="Calibri"/>
    </font>
    <font>
      <b/>
      <i/>
      <sz val="26.0"/>
      <color rgb="FFFF0000"/>
      <name val="Calibri"/>
    </font>
    <font>
      <b/>
      <sz val="28.0"/>
      <color theme="0"/>
      <name val="Calibri"/>
    </font>
    <font>
      <b/>
      <i/>
      <sz val="36.0"/>
      <color theme="1"/>
      <name val="Calibri"/>
    </font>
    <font>
      <color theme="0"/>
      <name val="Calibri"/>
      <scheme val="minor"/>
    </font>
    <font>
      <b/>
      <i/>
      <sz val="14.0"/>
      <color theme="1"/>
      <name val="Calibri"/>
      <scheme val="minor"/>
    </font>
    <font>
      <b/>
      <i/>
      <sz val="14.0"/>
      <color theme="1"/>
      <name val="Times New Roman"/>
    </font>
    <font>
      <sz val="16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i/>
      <sz val="11.0"/>
      <color theme="1"/>
      <name val="Calibri"/>
    </font>
    <font>
      <sz val="11.0"/>
      <color theme="0"/>
      <name val="Calibri"/>
    </font>
    <font>
      <b/>
      <sz val="14.0"/>
      <color rgb="FF00B050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FF98F5"/>
        <bgColor rgb="FFFF98F5"/>
      </patternFill>
    </fill>
    <fill>
      <patternFill patternType="solid">
        <fgColor rgb="FFC9DAF8"/>
        <bgColor rgb="FFC9DAF8"/>
      </patternFill>
    </fill>
    <fill>
      <patternFill patternType="solid">
        <fgColor rgb="FFE54949"/>
        <bgColor rgb="FFE54949"/>
      </patternFill>
    </fill>
    <fill>
      <patternFill patternType="solid">
        <fgColor theme="7"/>
        <bgColor theme="7"/>
      </patternFill>
    </fill>
    <fill>
      <patternFill patternType="solid">
        <fgColor rgb="FFBDD6EE"/>
        <bgColor rgb="FFBDD6EE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E598"/>
        <bgColor rgb="FFFFE598"/>
      </patternFill>
    </fill>
    <fill>
      <patternFill patternType="solid">
        <fgColor rgb="FF2E75B5"/>
        <bgColor rgb="FF2E75B5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7CAAC"/>
        <bgColor rgb="FFF7CAAC"/>
      </patternFill>
    </fill>
    <fill>
      <patternFill patternType="solid">
        <fgColor rgb="FF0070C0"/>
        <bgColor rgb="FF0070C0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C8ED"/>
        <bgColor rgb="FFFFC8ED"/>
      </patternFill>
    </fill>
    <fill>
      <patternFill patternType="solid">
        <fgColor rgb="FF9CC2E5"/>
        <bgColor rgb="FF9CC2E5"/>
      </patternFill>
    </fill>
  </fills>
  <borders count="5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ck">
        <color rgb="FF000000"/>
      </top>
    </border>
    <border>
      <left/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/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37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1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3" fontId="3" numFmtId="0" xfId="0" applyAlignment="1" applyBorder="1" applyFill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4" fillId="2" fontId="3" numFmtId="0" xfId="0" applyAlignment="1" applyBorder="1" applyFont="1">
      <alignment horizontal="center"/>
    </xf>
    <xf borderId="7" fillId="0" fontId="5" numFmtId="0" xfId="0" applyAlignment="1" applyBorder="1" applyFont="1">
      <alignment horizontal="center" readingOrder="0"/>
    </xf>
    <xf borderId="8" fillId="0" fontId="4" numFmtId="0" xfId="0" applyBorder="1" applyFont="1"/>
    <xf borderId="9" fillId="4" fontId="3" numFmtId="0" xfId="0" applyAlignment="1" applyBorder="1" applyFill="1" applyFont="1">
      <alignment horizontal="left"/>
    </xf>
    <xf borderId="9" fillId="0" fontId="3" numFmtId="165" xfId="0" applyAlignment="1" applyBorder="1" applyFont="1" applyNumberFormat="1">
      <alignment horizontal="left"/>
    </xf>
    <xf borderId="9" fillId="0" fontId="3" numFmtId="164" xfId="0" applyAlignment="1" applyBorder="1" applyFont="1" applyNumberFormat="1">
      <alignment horizontal="left"/>
    </xf>
    <xf borderId="9" fillId="5" fontId="3" numFmtId="166" xfId="0" applyAlignment="1" applyBorder="1" applyFill="1" applyFont="1" applyNumberFormat="1">
      <alignment horizontal="left"/>
    </xf>
    <xf borderId="9" fillId="6" fontId="3" numFmtId="166" xfId="0" applyAlignment="1" applyBorder="1" applyFill="1" applyFont="1" applyNumberFormat="1">
      <alignment horizontal="left"/>
    </xf>
    <xf borderId="9" fillId="7" fontId="3" numFmtId="166" xfId="0" applyAlignment="1" applyBorder="1" applyFill="1" applyFont="1" applyNumberFormat="1">
      <alignment horizontal="left"/>
    </xf>
    <xf borderId="9" fillId="0" fontId="3" numFmtId="0" xfId="0" applyAlignment="1" applyBorder="1" applyFont="1">
      <alignment horizontal="right"/>
    </xf>
    <xf borderId="9" fillId="0" fontId="6" numFmtId="0" xfId="0" applyBorder="1" applyFont="1"/>
    <xf borderId="9" fillId="0" fontId="6" numFmtId="165" xfId="0" applyBorder="1" applyFont="1" applyNumberFormat="1"/>
    <xf borderId="9" fillId="0" fontId="6" numFmtId="166" xfId="0" applyBorder="1" applyFont="1" applyNumberFormat="1"/>
    <xf borderId="1" fillId="0" fontId="6" numFmtId="0" xfId="0" applyAlignment="1" applyBorder="1" applyFont="1">
      <alignment horizontal="right"/>
    </xf>
    <xf borderId="10" fillId="0" fontId="6" numFmtId="0" xfId="0" applyAlignment="1" applyBorder="1" applyFont="1">
      <alignment horizontal="right"/>
    </xf>
    <xf borderId="11" fillId="0" fontId="6" numFmtId="0" xfId="0" applyBorder="1" applyFont="1"/>
    <xf borderId="11" fillId="0" fontId="6" numFmtId="165" xfId="0" applyBorder="1" applyFont="1" applyNumberFormat="1"/>
    <xf borderId="11" fillId="0" fontId="6" numFmtId="166" xfId="0" applyBorder="1" applyFont="1" applyNumberFormat="1"/>
    <xf borderId="11" fillId="0" fontId="6" numFmtId="0" xfId="0" applyAlignment="1" applyBorder="1" applyFont="1">
      <alignment horizontal="right"/>
    </xf>
    <xf borderId="0" fillId="0" fontId="6" numFmtId="166" xfId="0" applyAlignment="1" applyFont="1" applyNumberFormat="1">
      <alignment horizontal="center"/>
    </xf>
    <xf borderId="0" fillId="0" fontId="6" numFmtId="166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9" fillId="4" fontId="3" numFmtId="0" xfId="0" applyAlignment="1" applyBorder="1" applyFont="1">
      <alignment horizontal="left" readingOrder="0"/>
    </xf>
    <xf borderId="9" fillId="0" fontId="3" numFmtId="165" xfId="0" applyAlignment="1" applyBorder="1" applyFont="1" applyNumberFormat="1">
      <alignment horizontal="left" readingOrder="0"/>
    </xf>
    <xf borderId="9" fillId="5" fontId="3" numFmtId="166" xfId="0" applyAlignment="1" applyBorder="1" applyFont="1" applyNumberFormat="1">
      <alignment horizontal="left" readingOrder="0"/>
    </xf>
    <xf borderId="9" fillId="0" fontId="3" numFmtId="0" xfId="0" applyAlignment="1" applyBorder="1" applyFont="1">
      <alignment horizontal="left"/>
    </xf>
    <xf borderId="12" fillId="8" fontId="8" numFmtId="0" xfId="0" applyBorder="1" applyFill="1" applyFont="1"/>
    <xf borderId="9" fillId="0" fontId="8" numFmtId="165" xfId="0" applyAlignment="1" applyBorder="1" applyFont="1" applyNumberFormat="1">
      <alignment horizontal="right" readingOrder="0" vertical="center"/>
    </xf>
    <xf borderId="9" fillId="0" fontId="6" numFmtId="166" xfId="0" applyAlignment="1" applyBorder="1" applyFont="1" applyNumberFormat="1">
      <alignment readingOrder="0"/>
    </xf>
    <xf borderId="1" fillId="0" fontId="8" numFmtId="0" xfId="0" applyAlignment="1" applyBorder="1" applyFont="1">
      <alignment horizontal="right"/>
    </xf>
    <xf borderId="10" fillId="0" fontId="2" numFmtId="0" xfId="0" applyBorder="1" applyFont="1"/>
    <xf borderId="9" fillId="0" fontId="9" numFmtId="0" xfId="0" applyAlignment="1" applyBorder="1" applyFont="1">
      <alignment readingOrder="0"/>
    </xf>
    <xf borderId="9" fillId="0" fontId="10" numFmtId="165" xfId="0" applyAlignment="1" applyBorder="1" applyFont="1" applyNumberFormat="1">
      <alignment readingOrder="0"/>
    </xf>
    <xf borderId="9" fillId="0" fontId="11" numFmtId="166" xfId="0" applyAlignment="1" applyBorder="1" applyFont="1" applyNumberFormat="1">
      <alignment readingOrder="0"/>
    </xf>
    <xf borderId="1" fillId="0" fontId="12" numFmtId="0" xfId="0" applyAlignment="1" applyBorder="1" applyFont="1">
      <alignment readingOrder="0"/>
    </xf>
    <xf borderId="9" fillId="0" fontId="13" numFmtId="166" xfId="0" applyAlignment="1" applyBorder="1" applyFont="1" applyNumberFormat="1">
      <alignment horizontal="center" readingOrder="0" vertical="center"/>
    </xf>
    <xf borderId="9" fillId="0" fontId="14" numFmtId="166" xfId="0" applyAlignment="1" applyBorder="1" applyFont="1" applyNumberFormat="1">
      <alignment horizontal="center" readingOrder="0" vertical="center"/>
    </xf>
    <xf borderId="9" fillId="0" fontId="9" numFmtId="0" xfId="0" applyAlignment="1" applyBorder="1" applyFont="1">
      <alignment vertical="bottom"/>
    </xf>
    <xf borderId="0" fillId="0" fontId="1" numFmtId="166" xfId="0" applyFont="1" applyNumberFormat="1"/>
    <xf borderId="9" fillId="0" fontId="9" numFmtId="0" xfId="0" applyBorder="1" applyFont="1"/>
    <xf borderId="0" fillId="0" fontId="1" numFmtId="166" xfId="0" applyAlignment="1" applyFont="1" applyNumberFormat="1">
      <alignment readingOrder="0"/>
    </xf>
    <xf borderId="9" fillId="9" fontId="8" numFmtId="0" xfId="0" applyAlignment="1" applyBorder="1" applyFill="1" applyFont="1">
      <alignment readingOrder="0"/>
    </xf>
    <xf borderId="9" fillId="0" fontId="15" numFmtId="166" xfId="0" applyAlignment="1" applyBorder="1" applyFont="1" applyNumberFormat="1">
      <alignment horizontal="center" readingOrder="0" vertical="center"/>
    </xf>
    <xf borderId="9" fillId="10" fontId="16" numFmtId="0" xfId="0" applyAlignment="1" applyBorder="1" applyFill="1" applyFont="1">
      <alignment readingOrder="0"/>
    </xf>
    <xf borderId="1" fillId="0" fontId="12" numFmtId="0" xfId="0" applyBorder="1" applyFont="1"/>
    <xf borderId="0" fillId="0" fontId="1" numFmtId="0" xfId="0" applyAlignment="1" applyFont="1">
      <alignment horizontal="right" readingOrder="0"/>
    </xf>
    <xf borderId="9" fillId="0" fontId="17" numFmtId="166" xfId="0" applyAlignment="1" applyBorder="1" applyFont="1" applyNumberFormat="1">
      <alignment readingOrder="0"/>
    </xf>
    <xf borderId="9" fillId="0" fontId="9" numFmtId="0" xfId="0" applyAlignment="1" applyBorder="1" applyFont="1">
      <alignment readingOrder="0" vertical="bottom"/>
    </xf>
    <xf borderId="9" fillId="0" fontId="13" numFmtId="166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right" readingOrder="0"/>
    </xf>
    <xf borderId="9" fillId="11" fontId="8" numFmtId="0" xfId="0" applyAlignment="1" applyBorder="1" applyFill="1" applyFont="1">
      <alignment readingOrder="0"/>
    </xf>
    <xf borderId="9" fillId="0" fontId="10" numFmtId="165" xfId="0" applyBorder="1" applyFont="1" applyNumberFormat="1"/>
    <xf borderId="9" fillId="0" fontId="11" numFmtId="166" xfId="0" applyBorder="1" applyFont="1" applyNumberFormat="1"/>
    <xf borderId="12" fillId="10" fontId="16" numFmtId="0" xfId="0" applyAlignment="1" applyBorder="1" applyFont="1">
      <alignment readingOrder="0"/>
    </xf>
    <xf borderId="11" fillId="0" fontId="6" numFmtId="166" xfId="0" applyAlignment="1" applyBorder="1" applyFont="1" applyNumberFormat="1">
      <alignment readingOrder="0"/>
    </xf>
    <xf borderId="9" fillId="0" fontId="2" numFmtId="0" xfId="0" applyAlignment="1" applyBorder="1" applyFont="1">
      <alignment vertical="bottom"/>
    </xf>
    <xf borderId="9" fillId="0" fontId="2" numFmtId="165" xfId="0" applyBorder="1" applyFont="1" applyNumberFormat="1"/>
    <xf borderId="9" fillId="0" fontId="2" numFmtId="166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9" fillId="12" fontId="2" numFmtId="167" xfId="0" applyAlignment="1" applyBorder="1" applyFill="1" applyFont="1" applyNumberFormat="1">
      <alignment horizontal="right" readingOrder="0" shrinkToFit="0" wrapText="1"/>
    </xf>
    <xf borderId="9" fillId="13" fontId="8" numFmtId="0" xfId="0" applyAlignment="1" applyBorder="1" applyFill="1" applyFont="1">
      <alignment readingOrder="0"/>
    </xf>
    <xf borderId="9" fillId="0" fontId="2" numFmtId="0" xfId="0" applyAlignment="1" applyBorder="1" applyFont="1">
      <alignment readingOrder="0" vertical="bottom"/>
    </xf>
    <xf borderId="9" fillId="8" fontId="8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12" fillId="0" fontId="2" numFmtId="0" xfId="0" applyAlignment="1" applyBorder="1" applyFont="1">
      <alignment vertical="bottom"/>
    </xf>
    <xf borderId="11" fillId="0" fontId="2" numFmtId="165" xfId="0" applyBorder="1" applyFont="1" applyNumberFormat="1"/>
    <xf borderId="11" fillId="0" fontId="2" numFmtId="166" xfId="0" applyAlignment="1" applyBorder="1" applyFont="1" applyNumberFormat="1">
      <alignment vertical="bottom"/>
    </xf>
    <xf borderId="9" fillId="14" fontId="18" numFmtId="0" xfId="0" applyAlignment="1" applyBorder="1" applyFill="1" applyFont="1">
      <alignment readingOrder="0"/>
    </xf>
    <xf borderId="11" fillId="0" fontId="19" numFmtId="166" xfId="0" applyAlignment="1" applyBorder="1" applyFont="1" applyNumberFormat="1">
      <alignment vertical="center"/>
    </xf>
    <xf borderId="13" fillId="0" fontId="4" numFmtId="0" xfId="0" applyBorder="1" applyFont="1"/>
    <xf borderId="14" fillId="0" fontId="4" numFmtId="0" xfId="0" applyBorder="1" applyFont="1"/>
    <xf borderId="1" fillId="0" fontId="8" numFmtId="166" xfId="0" applyAlignment="1" applyBorder="1" applyFont="1" applyNumberFormat="1">
      <alignment horizontal="right"/>
    </xf>
    <xf borderId="9" fillId="15" fontId="16" numFmtId="0" xfId="0" applyAlignment="1" applyBorder="1" applyFill="1" applyFont="1">
      <alignment readingOrder="0"/>
    </xf>
    <xf borderId="9" fillId="0" fontId="8" numFmtId="0" xfId="0" applyBorder="1" applyFont="1"/>
    <xf borderId="15" fillId="0" fontId="6" numFmtId="0" xfId="0" applyAlignment="1" applyBorder="1" applyFont="1">
      <alignment horizontal="center" vertical="center"/>
    </xf>
    <xf borderId="16" fillId="0" fontId="4" numFmtId="0" xfId="0" applyBorder="1" applyFont="1"/>
    <xf borderId="11" fillId="5" fontId="3" numFmtId="166" xfId="0" applyAlignment="1" applyBorder="1" applyFont="1" applyNumberFormat="1">
      <alignment horizontal="right" vertical="center"/>
    </xf>
    <xf borderId="17" fillId="0" fontId="6" numFmtId="0" xfId="0" applyAlignment="1" applyBorder="1" applyFont="1">
      <alignment horizontal="center" vertical="center"/>
    </xf>
    <xf borderId="18" fillId="0" fontId="4" numFmtId="0" xfId="0" applyBorder="1" applyFont="1"/>
    <xf borderId="19" fillId="5" fontId="3" numFmtId="166" xfId="0" applyAlignment="1" applyBorder="1" applyFont="1" applyNumberFormat="1">
      <alignment horizontal="right" vertical="center"/>
    </xf>
    <xf borderId="20" fillId="0" fontId="8" numFmtId="0" xfId="0" applyAlignment="1" applyBorder="1" applyFont="1">
      <alignment horizontal="right"/>
    </xf>
    <xf borderId="11" fillId="14" fontId="15" numFmtId="166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/>
    </xf>
    <xf borderId="9" fillId="0" fontId="7" numFmtId="166" xfId="0" applyBorder="1" applyFont="1" applyNumberFormat="1"/>
    <xf borderId="9" fillId="0" fontId="8" numFmtId="166" xfId="0" applyBorder="1" applyFont="1" applyNumberFormat="1"/>
    <xf borderId="9" fillId="0" fontId="8" numFmtId="0" xfId="0" applyAlignment="1" applyBorder="1" applyFont="1">
      <alignment horizontal="right"/>
    </xf>
    <xf borderId="20" fillId="0" fontId="4" numFmtId="0" xfId="0" applyBorder="1" applyFont="1"/>
    <xf borderId="21" fillId="0" fontId="4" numFmtId="0" xfId="0" applyBorder="1" applyFont="1"/>
    <xf borderId="9" fillId="14" fontId="20" numFmtId="166" xfId="0" applyBorder="1" applyFont="1" applyNumberFormat="1"/>
    <xf borderId="9" fillId="12" fontId="8" numFmtId="0" xfId="0" applyAlignment="1" applyBorder="1" applyFont="1">
      <alignment horizontal="right"/>
    </xf>
    <xf borderId="1" fillId="0" fontId="6" numFmtId="0" xfId="0" applyAlignment="1" applyBorder="1" applyFont="1">
      <alignment horizontal="center" vertical="center"/>
    </xf>
    <xf borderId="9" fillId="7" fontId="2" numFmtId="166" xfId="0" applyBorder="1" applyFont="1" applyNumberFormat="1"/>
    <xf borderId="9" fillId="5" fontId="21" numFmtId="166" xfId="0" applyAlignment="1" applyBorder="1" applyFont="1" applyNumberFormat="1">
      <alignment horizontal="center" vertical="center"/>
    </xf>
    <xf borderId="9" fillId="0" fontId="2" numFmtId="166" xfId="0" applyBorder="1" applyFont="1" applyNumberFormat="1"/>
    <xf borderId="9" fillId="0" fontId="2" numFmtId="0" xfId="0" applyAlignment="1" applyBorder="1" applyFont="1">
      <alignment horizontal="right"/>
    </xf>
    <xf borderId="1" fillId="0" fontId="22" numFmtId="165" xfId="0" applyAlignment="1" applyBorder="1" applyFont="1" applyNumberFormat="1">
      <alignment horizontal="center" vertical="center"/>
    </xf>
    <xf borderId="9" fillId="0" fontId="12" numFmtId="166" xfId="0" applyBorder="1" applyFont="1" applyNumberFormat="1"/>
    <xf borderId="0" fillId="0" fontId="22" numFmtId="165" xfId="0" applyAlignment="1" applyFont="1" applyNumberFormat="1">
      <alignment horizontal="center" vertical="center"/>
    </xf>
    <xf borderId="0" fillId="0" fontId="2" numFmtId="0" xfId="0" applyAlignment="1" applyFont="1">
      <alignment horizontal="right"/>
    </xf>
    <xf borderId="1" fillId="0" fontId="23" numFmtId="0" xfId="0" applyAlignment="1" applyBorder="1" applyFont="1">
      <alignment horizontal="center" vertical="center"/>
    </xf>
    <xf borderId="9" fillId="4" fontId="2" numFmtId="166" xfId="0" applyBorder="1" applyFont="1" applyNumberFormat="1"/>
    <xf borderId="22" fillId="0" fontId="2" numFmtId="0" xfId="0" applyBorder="1" applyFont="1"/>
    <xf borderId="23" fillId="4" fontId="3" numFmtId="164" xfId="0" applyAlignment="1" applyBorder="1" applyFont="1" applyNumberFormat="1">
      <alignment horizontal="center"/>
    </xf>
    <xf borderId="24" fillId="0" fontId="4" numFmtId="0" xfId="0" applyBorder="1" applyFont="1"/>
    <xf borderId="25" fillId="0" fontId="4" numFmtId="0" xfId="0" applyBorder="1" applyFont="1"/>
    <xf borderId="22" fillId="5" fontId="3" numFmtId="0" xfId="0" applyAlignment="1" applyBorder="1" applyFont="1">
      <alignment horizontal="right"/>
    </xf>
    <xf borderId="22" fillId="4" fontId="6" numFmtId="164" xfId="0" applyAlignment="1" applyBorder="1" applyFont="1" applyNumberFormat="1">
      <alignment horizontal="center" vertical="center"/>
    </xf>
    <xf borderId="22" fillId="4" fontId="6" numFmtId="0" xfId="0" applyAlignment="1" applyBorder="1" applyFont="1">
      <alignment horizontal="center" vertical="center"/>
    </xf>
    <xf borderId="22" fillId="5" fontId="12" numFmtId="168" xfId="0" applyAlignment="1" applyBorder="1" applyFont="1" applyNumberFormat="1">
      <alignment readingOrder="0"/>
    </xf>
    <xf borderId="22" fillId="7" fontId="12" numFmtId="166" xfId="0" applyAlignment="1" applyBorder="1" applyFont="1" applyNumberFormat="1">
      <alignment readingOrder="0"/>
    </xf>
    <xf borderId="22" fillId="10" fontId="12" numFmtId="166" xfId="0" applyAlignment="1" applyBorder="1" applyFont="1" applyNumberFormat="1">
      <alignment readingOrder="0"/>
    </xf>
    <xf borderId="22" fillId="16" fontId="12" numFmtId="166" xfId="0" applyAlignment="1" applyBorder="1" applyFill="1" applyFont="1" applyNumberFormat="1">
      <alignment readingOrder="0"/>
    </xf>
    <xf borderId="23" fillId="2" fontId="24" numFmtId="0" xfId="0" applyAlignment="1" applyBorder="1" applyFont="1">
      <alignment horizontal="center"/>
    </xf>
    <xf borderId="22" fillId="7" fontId="3" numFmtId="0" xfId="0" applyAlignment="1" applyBorder="1" applyFont="1">
      <alignment horizontal="right"/>
    </xf>
    <xf borderId="22" fillId="4" fontId="6" numFmtId="166" xfId="0" applyAlignment="1" applyBorder="1" applyFont="1" applyNumberFormat="1">
      <alignment horizontal="center" vertical="center"/>
    </xf>
    <xf borderId="23" fillId="15" fontId="25" numFmtId="164" xfId="0" applyAlignment="1" applyBorder="1" applyFont="1" applyNumberFormat="1">
      <alignment horizontal="right"/>
    </xf>
    <xf borderId="22" fillId="3" fontId="13" numFmtId="166" xfId="0" applyBorder="1" applyFont="1" applyNumberFormat="1"/>
    <xf borderId="23" fillId="7" fontId="3" numFmtId="164" xfId="0" applyAlignment="1" applyBorder="1" applyFont="1" applyNumberFormat="1">
      <alignment horizontal="right" shrinkToFit="0" vertical="center" wrapText="1"/>
    </xf>
    <xf borderId="22" fillId="16" fontId="2" numFmtId="166" xfId="0" applyBorder="1" applyFont="1" applyNumberFormat="1"/>
    <xf borderId="15" fillId="4" fontId="26" numFmtId="0" xfId="0" applyAlignment="1" applyBorder="1" applyFont="1">
      <alignment horizontal="center"/>
    </xf>
    <xf borderId="26" fillId="0" fontId="4" numFmtId="0" xfId="0" applyBorder="1" applyFont="1"/>
    <xf borderId="27" fillId="0" fontId="4" numFmtId="0" xfId="0" applyBorder="1" applyFont="1"/>
    <xf borderId="9" fillId="5" fontId="27" numFmtId="0" xfId="0" applyAlignment="1" applyBorder="1" applyFont="1">
      <alignment horizontal="right" vertical="center"/>
    </xf>
    <xf borderId="1" fillId="0" fontId="28" numFmtId="168" xfId="0" applyAlignment="1" applyBorder="1" applyFont="1" applyNumberFormat="1">
      <alignment horizontal="center" vertical="center"/>
    </xf>
    <xf borderId="9" fillId="6" fontId="27" numFmtId="0" xfId="0" applyAlignment="1" applyBorder="1" applyFont="1">
      <alignment horizontal="right" vertical="center"/>
    </xf>
    <xf borderId="9" fillId="2" fontId="27" numFmtId="0" xfId="0" applyAlignment="1" applyBorder="1" applyFont="1">
      <alignment horizontal="right" vertical="center"/>
    </xf>
    <xf borderId="1" fillId="14" fontId="29" numFmtId="168" xfId="0" applyAlignment="1" applyBorder="1" applyFont="1" applyNumberFormat="1">
      <alignment horizontal="center" vertical="center"/>
    </xf>
    <xf borderId="9" fillId="7" fontId="27" numFmtId="0" xfId="0" applyAlignment="1" applyBorder="1" applyFont="1">
      <alignment horizontal="right" shrinkToFit="0" vertical="center" wrapText="1"/>
    </xf>
    <xf borderId="9" fillId="15" fontId="27" numFmtId="0" xfId="0" applyAlignment="1" applyBorder="1" applyFont="1">
      <alignment horizontal="right" vertical="center"/>
    </xf>
    <xf borderId="11" fillId="0" fontId="27" numFmtId="0" xfId="0" applyAlignment="1" applyBorder="1" applyFont="1">
      <alignment horizontal="right" vertical="center"/>
    </xf>
    <xf borderId="15" fillId="0" fontId="30" numFmtId="168" xfId="0" applyAlignment="1" applyBorder="1" applyFont="1" applyNumberFormat="1">
      <alignment horizontal="center" vertical="center"/>
    </xf>
    <xf borderId="9" fillId="14" fontId="31" numFmtId="0" xfId="0" applyAlignment="1" applyBorder="1" applyFont="1">
      <alignment horizontal="center" vertical="center"/>
    </xf>
    <xf borderId="1" fillId="0" fontId="32" numFmtId="168" xfId="0" applyAlignment="1" applyBorder="1" applyFont="1" applyNumberFormat="1">
      <alignment horizontal="center" vertical="center"/>
    </xf>
    <xf borderId="9" fillId="17" fontId="31" numFmtId="0" xfId="0" applyAlignment="1" applyBorder="1" applyFill="1" applyFont="1">
      <alignment horizontal="center" vertical="center"/>
    </xf>
    <xf borderId="1" fillId="0" fontId="32" numFmtId="164" xfId="0" applyAlignment="1" applyBorder="1" applyFont="1" applyNumberFormat="1">
      <alignment horizontal="center" vertical="center"/>
    </xf>
    <xf borderId="7" fillId="18" fontId="1" numFmtId="0" xfId="0" applyAlignment="1" applyBorder="1" applyFill="1" applyFont="1">
      <alignment horizontal="center" readingOrder="0" vertical="center"/>
    </xf>
    <xf borderId="28" fillId="0" fontId="4" numFmtId="0" xfId="0" applyBorder="1" applyFont="1"/>
    <xf borderId="7" fillId="14" fontId="33" numFmtId="0" xfId="0" applyAlignment="1" applyBorder="1" applyFont="1">
      <alignment horizontal="center" readingOrder="0" vertical="center"/>
    </xf>
    <xf borderId="7" fillId="19" fontId="1" numFmtId="0" xfId="0" applyAlignment="1" applyBorder="1" applyFill="1" applyFont="1">
      <alignment horizontal="center" readingOrder="0" vertical="center"/>
    </xf>
    <xf borderId="7" fillId="13" fontId="1" numFmtId="0" xfId="0" applyAlignment="1" applyBorder="1" applyFont="1">
      <alignment horizontal="center" readingOrder="0" vertical="center"/>
    </xf>
    <xf borderId="10" fillId="4" fontId="1" numFmtId="0" xfId="0" applyAlignment="1" applyBorder="1" applyFont="1">
      <alignment horizontal="center" readingOrder="0" vertical="center"/>
    </xf>
    <xf borderId="10" fillId="20" fontId="2" numFmtId="165" xfId="0" applyBorder="1" applyFill="1" applyFont="1" applyNumberFormat="1"/>
    <xf borderId="10" fillId="0" fontId="2" numFmtId="165" xfId="0" applyBorder="1" applyFont="1" applyNumberFormat="1"/>
    <xf borderId="10" fillId="0" fontId="2" numFmtId="169" xfId="0" applyAlignment="1" applyBorder="1" applyFont="1" applyNumberFormat="1">
      <alignment horizontal="right" readingOrder="0"/>
    </xf>
    <xf borderId="10" fillId="21" fontId="2" numFmtId="165" xfId="0" applyBorder="1" applyFill="1" applyFont="1" applyNumberFormat="1"/>
    <xf borderId="10" fillId="0" fontId="1" numFmtId="169" xfId="0" applyBorder="1" applyFont="1" applyNumberFormat="1"/>
    <xf borderId="10" fillId="22" fontId="2" numFmtId="165" xfId="0" applyBorder="1" applyFill="1" applyFont="1" applyNumberFormat="1"/>
    <xf borderId="10" fillId="0" fontId="2" numFmtId="165" xfId="0" applyAlignment="1" applyBorder="1" applyFont="1" applyNumberFormat="1">
      <alignment readingOrder="0"/>
    </xf>
    <xf borderId="10" fillId="0" fontId="1" numFmtId="169" xfId="0" applyAlignment="1" applyBorder="1" applyFont="1" applyNumberFormat="1">
      <alignment readingOrder="0"/>
    </xf>
    <xf borderId="10" fillId="0" fontId="1" numFmtId="170" xfId="0" applyAlignment="1" applyBorder="1" applyFont="1" applyNumberFormat="1">
      <alignment readingOrder="0"/>
    </xf>
    <xf borderId="10" fillId="0" fontId="2" numFmtId="169" xfId="0" applyAlignment="1" applyBorder="1" applyFont="1" applyNumberFormat="1">
      <alignment readingOrder="0"/>
    </xf>
    <xf borderId="10" fillId="0" fontId="1" numFmtId="0" xfId="0" applyBorder="1" applyFont="1"/>
    <xf borderId="7" fillId="4" fontId="34" numFmtId="0" xfId="0" applyAlignment="1" applyBorder="1" applyFont="1">
      <alignment horizontal="right" readingOrder="0"/>
    </xf>
    <xf borderId="10" fillId="23" fontId="1" numFmtId="169" xfId="0" applyBorder="1" applyFill="1" applyFont="1" applyNumberFormat="1"/>
    <xf borderId="9" fillId="24" fontId="8" numFmtId="0" xfId="0" applyBorder="1" applyFill="1" applyFont="1"/>
    <xf borderId="9" fillId="0" fontId="8" numFmtId="165" xfId="0" applyAlignment="1" applyBorder="1" applyFont="1" applyNumberFormat="1">
      <alignment horizontal="right" vertical="center"/>
    </xf>
    <xf borderId="9" fillId="14" fontId="15" numFmtId="166" xfId="0" applyAlignment="1" applyBorder="1" applyFont="1" applyNumberFormat="1">
      <alignment horizontal="center" readingOrder="0" vertical="center"/>
    </xf>
    <xf borderId="9" fillId="25" fontId="20" numFmtId="0" xfId="0" applyBorder="1" applyFill="1" applyFont="1"/>
    <xf borderId="9" fillId="14" fontId="20" numFmtId="0" xfId="0" applyBorder="1" applyFont="1"/>
    <xf borderId="11" fillId="0" fontId="8" numFmtId="165" xfId="0" applyAlignment="1" applyBorder="1" applyFont="1" applyNumberFormat="1">
      <alignment horizontal="right" vertical="center"/>
    </xf>
    <xf borderId="9" fillId="0" fontId="3" numFmtId="164" xfId="0" applyAlignment="1" applyBorder="1" applyFont="1" applyNumberFormat="1">
      <alignment horizontal="left" readingOrder="0"/>
    </xf>
    <xf borderId="9" fillId="12" fontId="2" numFmtId="167" xfId="0" applyAlignment="1" applyBorder="1" applyFont="1" applyNumberFormat="1">
      <alignment horizontal="right"/>
    </xf>
    <xf borderId="22" fillId="10" fontId="12" numFmtId="166" xfId="0" applyBorder="1" applyFont="1" applyNumberFormat="1"/>
    <xf borderId="22" fillId="16" fontId="12" numFmtId="166" xfId="0" applyBorder="1" applyFont="1" applyNumberFormat="1"/>
    <xf borderId="1" fillId="3" fontId="3" numFmtId="0" xfId="0" applyAlignment="1" applyBorder="1" applyFont="1">
      <alignment horizontal="center"/>
    </xf>
    <xf borderId="9" fillId="0" fontId="3" numFmtId="14" xfId="0" applyAlignment="1" applyBorder="1" applyFont="1" applyNumberFormat="1">
      <alignment horizontal="left"/>
    </xf>
    <xf borderId="9" fillId="0" fontId="6" numFmtId="0" xfId="0" applyAlignment="1" applyBorder="1" applyFont="1">
      <alignment horizontal="right"/>
    </xf>
    <xf borderId="0" fillId="0" fontId="6" numFmtId="0" xfId="0" applyAlignment="1" applyFont="1">
      <alignment horizontal="center"/>
    </xf>
    <xf borderId="0" fillId="0" fontId="13" numFmtId="0" xfId="0" applyAlignment="1" applyFont="1">
      <alignment horizontal="center" vertical="center"/>
    </xf>
    <xf borderId="9" fillId="0" fontId="35" numFmtId="0" xfId="0" applyBorder="1" applyFont="1"/>
    <xf borderId="9" fillId="0" fontId="13" numFmtId="0" xfId="0" applyAlignment="1" applyBorder="1" applyFont="1">
      <alignment horizontal="center" vertical="center"/>
    </xf>
    <xf borderId="9" fillId="26" fontId="6" numFmtId="0" xfId="0" applyBorder="1" applyFill="1" applyFont="1"/>
    <xf borderId="9" fillId="26" fontId="8" numFmtId="0" xfId="0" applyBorder="1" applyFont="1"/>
    <xf borderId="9" fillId="0" fontId="8" numFmtId="165" xfId="0" applyBorder="1" applyFont="1" applyNumberFormat="1"/>
    <xf borderId="9" fillId="27" fontId="8" numFmtId="0" xfId="0" applyAlignment="1" applyBorder="1" applyFill="1" applyFont="1">
      <alignment horizontal="right"/>
    </xf>
    <xf borderId="0" fillId="0" fontId="8" numFmtId="165" xfId="0" applyFont="1" applyNumberFormat="1"/>
    <xf borderId="9" fillId="7" fontId="8" numFmtId="0" xfId="0" applyBorder="1" applyFont="1"/>
    <xf borderId="9" fillId="28" fontId="8" numFmtId="0" xfId="0" applyBorder="1" applyFill="1" applyFont="1"/>
    <xf borderId="9" fillId="28" fontId="8" numFmtId="165" xfId="0" applyAlignment="1" applyBorder="1" applyFont="1" applyNumberFormat="1">
      <alignment horizontal="right" vertical="center"/>
    </xf>
    <xf borderId="9" fillId="28" fontId="6" numFmtId="166" xfId="0" applyBorder="1" applyFont="1" applyNumberFormat="1"/>
    <xf borderId="9" fillId="3" fontId="8" numFmtId="0" xfId="0" applyBorder="1" applyFont="1"/>
    <xf borderId="9" fillId="3" fontId="8" numFmtId="165" xfId="0" applyAlignment="1" applyBorder="1" applyFont="1" applyNumberFormat="1">
      <alignment horizontal="right" vertical="center"/>
    </xf>
    <xf borderId="9" fillId="3" fontId="6" numFmtId="166" xfId="0" applyBorder="1" applyFont="1" applyNumberFormat="1"/>
    <xf borderId="9" fillId="7" fontId="8" numFmtId="165" xfId="0" applyAlignment="1" applyBorder="1" applyFont="1" applyNumberFormat="1">
      <alignment horizontal="right" vertical="center"/>
    </xf>
    <xf borderId="9" fillId="7" fontId="6" numFmtId="166" xfId="0" applyBorder="1" applyFont="1" applyNumberFormat="1"/>
    <xf borderId="9" fillId="14" fontId="20" numFmtId="165" xfId="0" applyAlignment="1" applyBorder="1" applyFont="1" applyNumberFormat="1">
      <alignment horizontal="right" vertical="center"/>
    </xf>
    <xf borderId="9" fillId="14" fontId="18" numFmtId="166" xfId="0" applyBorder="1" applyFont="1" applyNumberFormat="1"/>
    <xf borderId="9" fillId="14" fontId="20" numFmtId="0" xfId="0" applyAlignment="1" applyBorder="1" applyFont="1">
      <alignment horizontal="right"/>
    </xf>
    <xf borderId="9" fillId="0" fontId="8" numFmtId="166" xfId="0" applyAlignment="1" applyBorder="1" applyFont="1" applyNumberFormat="1">
      <alignment horizontal="right"/>
    </xf>
    <xf borderId="9" fillId="2" fontId="8" numFmtId="0" xfId="0" applyBorder="1" applyFont="1"/>
    <xf borderId="9" fillId="2" fontId="8" numFmtId="165" xfId="0" applyAlignment="1" applyBorder="1" applyFont="1" applyNumberFormat="1">
      <alignment horizontal="right" vertical="center"/>
    </xf>
    <xf borderId="9" fillId="2" fontId="6" numFmtId="166" xfId="0" applyBorder="1" applyFont="1" applyNumberFormat="1"/>
    <xf borderId="23" fillId="4" fontId="3" numFmtId="0" xfId="0" applyAlignment="1" applyBorder="1" applyFont="1">
      <alignment horizontal="center"/>
    </xf>
    <xf borderId="22" fillId="5" fontId="12" numFmtId="166" xfId="0" applyBorder="1" applyFont="1" applyNumberFormat="1"/>
    <xf borderId="22" fillId="7" fontId="12" numFmtId="166" xfId="0" applyBorder="1" applyFont="1" applyNumberFormat="1"/>
    <xf borderId="23" fillId="15" fontId="25" numFmtId="0" xfId="0" applyAlignment="1" applyBorder="1" applyFont="1">
      <alignment horizontal="right"/>
    </xf>
    <xf borderId="23" fillId="7" fontId="3" numFmtId="0" xfId="0" applyAlignment="1" applyBorder="1" applyFont="1">
      <alignment horizontal="right" shrinkToFit="0" vertical="center" wrapText="1"/>
    </xf>
    <xf borderId="1" fillId="0" fontId="28" numFmtId="166" xfId="0" applyAlignment="1" applyBorder="1" applyFont="1" applyNumberFormat="1">
      <alignment horizontal="center" vertical="center"/>
    </xf>
    <xf borderId="1" fillId="14" fontId="29" numFmtId="166" xfId="0" applyAlignment="1" applyBorder="1" applyFont="1" applyNumberFormat="1">
      <alignment horizontal="center" vertical="center"/>
    </xf>
    <xf borderId="9" fillId="0" fontId="27" numFmtId="0" xfId="0" applyAlignment="1" applyBorder="1" applyFont="1">
      <alignment horizontal="right" vertical="center"/>
    </xf>
    <xf borderId="1" fillId="0" fontId="30" numFmtId="166" xfId="0" applyAlignment="1" applyBorder="1" applyFont="1" applyNumberFormat="1">
      <alignment horizontal="center" vertical="center"/>
    </xf>
    <xf borderId="23" fillId="2" fontId="3" numFmtId="0" xfId="0" applyAlignment="1" applyBorder="1" applyFont="1">
      <alignment horizontal="center"/>
    </xf>
    <xf borderId="23" fillId="3" fontId="3" numFmtId="0" xfId="0" applyAlignment="1" applyBorder="1" applyFont="1">
      <alignment horizontal="center"/>
    </xf>
    <xf borderId="22" fillId="4" fontId="3" numFmtId="0" xfId="0" applyAlignment="1" applyBorder="1" applyFont="1">
      <alignment horizontal="left"/>
    </xf>
    <xf borderId="22" fillId="0" fontId="3" numFmtId="165" xfId="0" applyAlignment="1" applyBorder="1" applyFont="1" applyNumberFormat="1">
      <alignment horizontal="left"/>
    </xf>
    <xf borderId="22" fillId="0" fontId="3" numFmtId="14" xfId="0" applyAlignment="1" applyBorder="1" applyFont="1" applyNumberFormat="1">
      <alignment horizontal="left"/>
    </xf>
    <xf borderId="22" fillId="5" fontId="3" numFmtId="166" xfId="0" applyAlignment="1" applyBorder="1" applyFont="1" applyNumberFormat="1">
      <alignment horizontal="left"/>
    </xf>
    <xf borderId="22" fillId="6" fontId="3" numFmtId="166" xfId="0" applyAlignment="1" applyBorder="1" applyFont="1" applyNumberFormat="1">
      <alignment horizontal="left"/>
    </xf>
    <xf borderId="22" fillId="7" fontId="3" numFmtId="166" xfId="0" applyAlignment="1" applyBorder="1" applyFont="1" applyNumberFormat="1">
      <alignment horizontal="left"/>
    </xf>
    <xf borderId="22" fillId="0" fontId="3" numFmtId="0" xfId="0" applyAlignment="1" applyBorder="1" applyFont="1">
      <alignment horizontal="right"/>
    </xf>
    <xf borderId="22" fillId="0" fontId="6" numFmtId="0" xfId="0" applyBorder="1" applyFont="1"/>
    <xf borderId="22" fillId="0" fontId="6" numFmtId="165" xfId="0" applyBorder="1" applyFont="1" applyNumberFormat="1"/>
    <xf borderId="22" fillId="0" fontId="6" numFmtId="166" xfId="0" applyBorder="1" applyFont="1" applyNumberFormat="1"/>
    <xf borderId="22" fillId="0" fontId="6" numFmtId="0" xfId="0" applyAlignment="1" applyBorder="1" applyFont="1">
      <alignment horizontal="right"/>
    </xf>
    <xf borderId="22" fillId="4" fontId="8" numFmtId="0" xfId="0" applyBorder="1" applyFont="1"/>
    <xf borderId="22" fillId="22" fontId="8" numFmtId="165" xfId="0" applyBorder="1" applyFont="1" applyNumberFormat="1"/>
    <xf borderId="22" fillId="0" fontId="8" numFmtId="14" xfId="0" applyBorder="1" applyFont="1" applyNumberFormat="1"/>
    <xf borderId="22" fillId="5" fontId="8" numFmtId="166" xfId="0" applyBorder="1" applyFont="1" applyNumberFormat="1"/>
    <xf borderId="22" fillId="6" fontId="6" numFmtId="166" xfId="0" applyAlignment="1" applyBorder="1" applyFont="1" applyNumberFormat="1">
      <alignment horizontal="center"/>
    </xf>
    <xf borderId="22" fillId="7" fontId="8" numFmtId="166" xfId="0" applyBorder="1" applyFont="1" applyNumberFormat="1"/>
    <xf borderId="22" fillId="0" fontId="8" numFmtId="0" xfId="0" applyAlignment="1" applyBorder="1" applyFont="1">
      <alignment horizontal="right"/>
    </xf>
    <xf borderId="22" fillId="0" fontId="8" numFmtId="0" xfId="0" applyBorder="1" applyFont="1"/>
    <xf borderId="22" fillId="0" fontId="8" numFmtId="165" xfId="0" applyBorder="1" applyFont="1" applyNumberFormat="1"/>
    <xf borderId="22" fillId="0" fontId="8" numFmtId="166" xfId="0" applyBorder="1" applyFont="1" applyNumberFormat="1"/>
    <xf borderId="22" fillId="5" fontId="8" numFmtId="0" xfId="0" applyBorder="1" applyFont="1"/>
    <xf borderId="22" fillId="5" fontId="8" numFmtId="165" xfId="0" applyBorder="1" applyFont="1" applyNumberFormat="1"/>
    <xf borderId="22" fillId="2" fontId="8" numFmtId="0" xfId="0" applyBorder="1" applyFont="1"/>
    <xf borderId="22" fillId="2" fontId="8" numFmtId="165" xfId="0" applyBorder="1" applyFont="1" applyNumberFormat="1"/>
    <xf borderId="22" fillId="2" fontId="8" numFmtId="166" xfId="0" applyBorder="1" applyFont="1" applyNumberFormat="1"/>
    <xf borderId="22" fillId="4" fontId="8" numFmtId="165" xfId="0" applyBorder="1" applyFont="1" applyNumberFormat="1"/>
    <xf borderId="22" fillId="4" fontId="8" numFmtId="166" xfId="0" applyBorder="1" applyFont="1" applyNumberFormat="1"/>
    <xf borderId="22" fillId="4" fontId="8" numFmtId="0" xfId="0" applyAlignment="1" applyBorder="1" applyFont="1">
      <alignment horizontal="right"/>
    </xf>
    <xf borderId="22" fillId="6" fontId="8" numFmtId="166" xfId="0" applyBorder="1" applyFont="1" applyNumberFormat="1"/>
    <xf borderId="22" fillId="8" fontId="8" numFmtId="0" xfId="0" applyBorder="1" applyFont="1"/>
    <xf borderId="22" fillId="0" fontId="20" numFmtId="166" xfId="0" applyBorder="1" applyFont="1" applyNumberFormat="1"/>
    <xf borderId="22" fillId="22" fontId="8" numFmtId="0" xfId="0" applyBorder="1" applyFont="1"/>
    <xf borderId="29" fillId="0" fontId="6" numFmtId="0" xfId="0" applyAlignment="1" applyBorder="1" applyFont="1">
      <alignment horizontal="center" vertical="center"/>
    </xf>
    <xf borderId="30" fillId="0" fontId="4" numFmtId="0" xfId="0" applyBorder="1" applyFont="1"/>
    <xf borderId="31" fillId="5" fontId="3" numFmtId="166" xfId="0" applyAlignment="1" applyBorder="1" applyFont="1" applyNumberFormat="1">
      <alignment horizontal="right" vertical="center"/>
    </xf>
    <xf borderId="23" fillId="0" fontId="6" numFmtId="0" xfId="0" applyAlignment="1" applyBorder="1" applyFont="1">
      <alignment horizontal="center"/>
    </xf>
    <xf borderId="22" fillId="0" fontId="7" numFmtId="166" xfId="0" applyBorder="1" applyFont="1" applyNumberFormat="1"/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22" fillId="14" fontId="20" numFmtId="166" xfId="0" applyBorder="1" applyFont="1" applyNumberFormat="1"/>
    <xf borderId="22" fillId="12" fontId="8" numFmtId="0" xfId="0" applyAlignment="1" applyBorder="1" applyFont="1">
      <alignment horizontal="right"/>
    </xf>
    <xf borderId="23" fillId="0" fontId="6" numFmtId="0" xfId="0" applyAlignment="1" applyBorder="1" applyFont="1">
      <alignment horizontal="center" vertical="center"/>
    </xf>
    <xf borderId="22" fillId="7" fontId="2" numFmtId="166" xfId="0" applyBorder="1" applyFont="1" applyNumberFormat="1"/>
    <xf borderId="22" fillId="5" fontId="21" numFmtId="166" xfId="0" applyAlignment="1" applyBorder="1" applyFont="1" applyNumberFormat="1">
      <alignment horizontal="center" vertical="center"/>
    </xf>
    <xf borderId="22" fillId="0" fontId="2" numFmtId="166" xfId="0" applyBorder="1" applyFont="1" applyNumberFormat="1"/>
    <xf borderId="22" fillId="0" fontId="2" numFmtId="0" xfId="0" applyAlignment="1" applyBorder="1" applyFont="1">
      <alignment horizontal="right"/>
    </xf>
    <xf borderId="35" fillId="12" fontId="2" numFmtId="167" xfId="0" applyAlignment="1" applyBorder="1" applyFont="1" applyNumberFormat="1">
      <alignment horizontal="right"/>
    </xf>
    <xf borderId="22" fillId="0" fontId="2" numFmtId="165" xfId="0" applyBorder="1" applyFont="1" applyNumberFormat="1"/>
    <xf borderId="36" fillId="0" fontId="22" numFmtId="165" xfId="0" applyAlignment="1" applyBorder="1" applyFont="1" applyNumberFormat="1">
      <alignment horizontal="center" vertical="center"/>
    </xf>
    <xf borderId="36" fillId="0" fontId="4" numFmtId="0" xfId="0" applyBorder="1" applyFont="1"/>
    <xf borderId="23" fillId="0" fontId="23" numFmtId="0" xfId="0" applyAlignment="1" applyBorder="1" applyFont="1">
      <alignment horizontal="center" vertical="center"/>
    </xf>
    <xf borderId="22" fillId="4" fontId="2" numFmtId="166" xfId="0" applyBorder="1" applyFont="1" applyNumberFormat="1"/>
    <xf borderId="22" fillId="7" fontId="36" numFmtId="0" xfId="0" applyAlignment="1" applyBorder="1" applyFont="1">
      <alignment horizontal="right"/>
    </xf>
    <xf borderId="23" fillId="2" fontId="37" numFmtId="0" xfId="0" applyAlignment="1" applyBorder="1" applyFont="1">
      <alignment horizontal="center"/>
    </xf>
    <xf borderId="23" fillId="3" fontId="37" numFmtId="0" xfId="0" applyAlignment="1" applyBorder="1" applyFont="1">
      <alignment horizontal="center"/>
    </xf>
    <xf borderId="22" fillId="4" fontId="38" numFmtId="0" xfId="0" applyAlignment="1" applyBorder="1" applyFont="1">
      <alignment horizontal="left"/>
    </xf>
    <xf borderId="22" fillId="0" fontId="38" numFmtId="165" xfId="0" applyAlignment="1" applyBorder="1" applyFont="1" applyNumberFormat="1">
      <alignment horizontal="left"/>
    </xf>
    <xf borderId="22" fillId="0" fontId="38" numFmtId="14" xfId="0" applyAlignment="1" applyBorder="1" applyFont="1" applyNumberFormat="1">
      <alignment horizontal="left"/>
    </xf>
    <xf borderId="22" fillId="5" fontId="38" numFmtId="166" xfId="0" applyAlignment="1" applyBorder="1" applyFont="1" applyNumberFormat="1">
      <alignment horizontal="left"/>
    </xf>
    <xf borderId="22" fillId="6" fontId="38" numFmtId="166" xfId="0" applyAlignment="1" applyBorder="1" applyFont="1" applyNumberFormat="1">
      <alignment horizontal="left"/>
    </xf>
    <xf borderId="22" fillId="7" fontId="38" numFmtId="166" xfId="0" applyAlignment="1" applyBorder="1" applyFont="1" applyNumberFormat="1">
      <alignment horizontal="left"/>
    </xf>
    <xf borderId="22" fillId="0" fontId="38" numFmtId="0" xfId="0" applyAlignment="1" applyBorder="1" applyFont="1">
      <alignment horizontal="right"/>
    </xf>
    <xf borderId="31" fillId="0" fontId="39" numFmtId="0" xfId="0" applyBorder="1" applyFont="1"/>
    <xf borderId="31" fillId="0" fontId="39" numFmtId="165" xfId="0" applyBorder="1" applyFont="1" applyNumberFormat="1"/>
    <xf borderId="31" fillId="0" fontId="39" numFmtId="166" xfId="0" applyBorder="1" applyFont="1" applyNumberFormat="1"/>
    <xf borderId="31" fillId="0" fontId="39" numFmtId="0" xfId="0" applyAlignment="1" applyBorder="1" applyFont="1">
      <alignment horizontal="right"/>
    </xf>
    <xf borderId="37" fillId="4" fontId="2" numFmtId="0" xfId="0" applyBorder="1" applyFont="1"/>
    <xf borderId="35" fillId="22" fontId="2" numFmtId="165" xfId="0" applyBorder="1" applyFont="1" applyNumberFormat="1"/>
    <xf borderId="38" fillId="0" fontId="2" numFmtId="14" xfId="0" applyBorder="1" applyFont="1" applyNumberFormat="1"/>
    <xf borderId="35" fillId="5" fontId="2" numFmtId="166" xfId="0" applyBorder="1" applyFont="1" applyNumberFormat="1"/>
    <xf borderId="35" fillId="6" fontId="39" numFmtId="166" xfId="0" applyAlignment="1" applyBorder="1" applyFont="1" applyNumberFormat="1">
      <alignment horizontal="center"/>
    </xf>
    <xf borderId="35" fillId="7" fontId="2" numFmtId="166" xfId="0" applyBorder="1" applyFont="1" applyNumberFormat="1"/>
    <xf borderId="38" fillId="0" fontId="2" numFmtId="0" xfId="0" applyAlignment="1" applyBorder="1" applyFont="1">
      <alignment horizontal="right"/>
    </xf>
    <xf borderId="10" fillId="0" fontId="2" numFmtId="166" xfId="0" applyBorder="1" applyFont="1" applyNumberFormat="1"/>
    <xf borderId="39" fillId="4" fontId="2" numFmtId="0" xfId="0" applyBorder="1" applyFont="1"/>
    <xf borderId="10" fillId="0" fontId="2" numFmtId="14" xfId="0" applyBorder="1" applyFont="1" applyNumberFormat="1"/>
    <xf borderId="10" fillId="5" fontId="2" numFmtId="166" xfId="0" applyBorder="1" applyFont="1" applyNumberFormat="1"/>
    <xf borderId="10" fillId="7" fontId="2" numFmtId="166" xfId="0" applyBorder="1" applyFont="1" applyNumberFormat="1"/>
    <xf borderId="10" fillId="0" fontId="2" numFmtId="0" xfId="0" applyAlignment="1" applyBorder="1" applyFont="1">
      <alignment horizontal="right"/>
    </xf>
    <xf borderId="10" fillId="5" fontId="2" numFmtId="0" xfId="0" applyBorder="1" applyFont="1"/>
    <xf borderId="10" fillId="5" fontId="2" numFmtId="165" xfId="0" applyBorder="1" applyFont="1" applyNumberFormat="1"/>
    <xf borderId="10" fillId="2" fontId="2" numFmtId="0" xfId="0" applyBorder="1" applyFont="1"/>
    <xf borderId="10" fillId="2" fontId="2" numFmtId="165" xfId="0" applyBorder="1" applyFont="1" applyNumberFormat="1"/>
    <xf borderId="10" fillId="2" fontId="2" numFmtId="166" xfId="0" applyBorder="1" applyFont="1" applyNumberFormat="1"/>
    <xf borderId="10" fillId="4" fontId="2" numFmtId="0" xfId="0" applyBorder="1" applyFont="1"/>
    <xf borderId="10" fillId="4" fontId="2" numFmtId="165" xfId="0" applyBorder="1" applyFont="1" applyNumberFormat="1"/>
    <xf borderId="10" fillId="4" fontId="2" numFmtId="166" xfId="0" applyBorder="1" applyFont="1" applyNumberFormat="1"/>
    <xf borderId="10" fillId="4" fontId="2" numFmtId="0" xfId="0" applyAlignment="1" applyBorder="1" applyFont="1">
      <alignment horizontal="right"/>
    </xf>
    <xf borderId="10" fillId="12" fontId="2" numFmtId="0" xfId="0" applyBorder="1" applyFont="1"/>
    <xf borderId="10" fillId="12" fontId="2" numFmtId="165" xfId="0" applyBorder="1" applyFont="1" applyNumberFormat="1"/>
    <xf borderId="10" fillId="15" fontId="2" numFmtId="166" xfId="0" applyBorder="1" applyFont="1" applyNumberFormat="1"/>
    <xf borderId="10" fillId="6" fontId="2" numFmtId="166" xfId="0" applyBorder="1" applyFont="1" applyNumberFormat="1"/>
    <xf borderId="10" fillId="14" fontId="40" numFmtId="166" xfId="0" applyBorder="1" applyFont="1" applyNumberFormat="1"/>
    <xf borderId="40" fillId="0" fontId="2" numFmtId="0" xfId="0" applyBorder="1" applyFont="1"/>
    <xf borderId="10" fillId="8" fontId="2" numFmtId="0" xfId="0" applyBorder="1" applyFont="1"/>
    <xf borderId="10" fillId="22" fontId="2" numFmtId="0" xfId="0" applyBorder="1" applyFont="1"/>
    <xf borderId="41" fillId="8" fontId="2" numFmtId="0" xfId="0" applyBorder="1" applyFont="1"/>
    <xf borderId="10" fillId="15" fontId="40" numFmtId="166" xfId="0" applyBorder="1" applyFont="1" applyNumberFormat="1"/>
    <xf borderId="42" fillId="4" fontId="2" numFmtId="0" xfId="0" applyBorder="1" applyFont="1"/>
    <xf borderId="43" fillId="0" fontId="2" numFmtId="165" xfId="0" applyBorder="1" applyFont="1" applyNumberFormat="1"/>
    <xf borderId="43" fillId="0" fontId="2" numFmtId="14" xfId="0" applyBorder="1" applyFont="1" applyNumberFormat="1"/>
    <xf borderId="44" fillId="5" fontId="2" numFmtId="166" xfId="0" applyBorder="1" applyFont="1" applyNumberFormat="1"/>
    <xf borderId="44" fillId="6" fontId="2" numFmtId="166" xfId="0" applyBorder="1" applyFont="1" applyNumberFormat="1"/>
    <xf borderId="44" fillId="7" fontId="2" numFmtId="166" xfId="0" applyBorder="1" applyFont="1" applyNumberFormat="1"/>
    <xf borderId="43" fillId="0" fontId="2" numFmtId="0" xfId="0" applyAlignment="1" applyBorder="1" applyFont="1">
      <alignment horizontal="right"/>
    </xf>
    <xf borderId="43" fillId="0" fontId="2" numFmtId="0" xfId="0" applyBorder="1" applyFont="1"/>
    <xf borderId="43" fillId="0" fontId="2" numFmtId="166" xfId="0" applyBorder="1" applyFont="1" applyNumberFormat="1"/>
    <xf borderId="29" fillId="0" fontId="26" numFmtId="0" xfId="0" applyAlignment="1" applyBorder="1" applyFont="1">
      <alignment horizontal="center" vertical="center"/>
    </xf>
    <xf borderId="31" fillId="5" fontId="2" numFmtId="166" xfId="0" applyAlignment="1" applyBorder="1" applyFont="1" applyNumberFormat="1">
      <alignment horizontal="center" vertical="center"/>
    </xf>
    <xf borderId="31" fillId="0" fontId="2" numFmtId="0" xfId="0" applyAlignment="1" applyBorder="1" applyFont="1">
      <alignment horizontal="right"/>
    </xf>
    <xf borderId="7" fillId="0" fontId="22" numFmtId="0" xfId="0" applyAlignment="1" applyBorder="1" applyFont="1">
      <alignment horizontal="center"/>
    </xf>
    <xf borderId="45" fillId="14" fontId="2" numFmtId="166" xfId="0" applyBorder="1" applyFont="1" applyNumberFormat="1"/>
    <xf borderId="10" fillId="12" fontId="2" numFmtId="0" xfId="0" applyAlignment="1" applyBorder="1" applyFont="1">
      <alignment horizontal="right"/>
    </xf>
    <xf borderId="10" fillId="12" fontId="2" numFmtId="167" xfId="0" applyAlignment="1" applyBorder="1" applyFont="1" applyNumberFormat="1">
      <alignment horizontal="right"/>
    </xf>
    <xf borderId="0" fillId="0" fontId="2" numFmtId="14" xfId="0" applyFont="1" applyNumberFormat="1"/>
    <xf borderId="23" fillId="29" fontId="37" numFmtId="0" xfId="0" applyAlignment="1" applyBorder="1" applyFill="1" applyFont="1">
      <alignment horizontal="center"/>
    </xf>
    <xf borderId="23" fillId="4" fontId="11" numFmtId="14" xfId="0" applyAlignment="1" applyBorder="1" applyFont="1" applyNumberFormat="1">
      <alignment horizontal="center"/>
    </xf>
    <xf borderId="23" fillId="24" fontId="11" numFmtId="14" xfId="0" applyAlignment="1" applyBorder="1" applyFont="1" applyNumberFormat="1">
      <alignment horizontal="center"/>
    </xf>
    <xf borderId="23" fillId="15" fontId="11" numFmtId="14" xfId="0" applyAlignment="1" applyBorder="1" applyFont="1" applyNumberFormat="1">
      <alignment horizontal="center"/>
    </xf>
    <xf borderId="23" fillId="14" fontId="11" numFmtId="14" xfId="0" applyAlignment="1" applyBorder="1" applyFont="1" applyNumberFormat="1">
      <alignment horizontal="center"/>
    </xf>
    <xf borderId="35" fillId="20" fontId="2" numFmtId="165" xfId="0" applyBorder="1" applyFont="1" applyNumberFormat="1"/>
    <xf borderId="35" fillId="6" fontId="39" numFmtId="166" xfId="0" applyBorder="1" applyFont="1" applyNumberFormat="1"/>
    <xf borderId="22" fillId="0" fontId="39" numFmtId="0" xfId="0" applyBorder="1" applyFont="1"/>
    <xf borderId="22" fillId="0" fontId="39" numFmtId="14" xfId="0" applyBorder="1" applyFont="1" applyNumberFormat="1"/>
    <xf borderId="22" fillId="0" fontId="39" numFmtId="166" xfId="0" applyBorder="1" applyFont="1" applyNumberFormat="1"/>
    <xf borderId="22" fillId="0" fontId="39" numFmtId="0" xfId="0" applyAlignment="1" applyBorder="1" applyFont="1">
      <alignment horizontal="right"/>
    </xf>
    <xf borderId="31" fillId="0" fontId="39" numFmtId="14" xfId="0" applyBorder="1" applyFont="1" applyNumberFormat="1"/>
    <xf borderId="10" fillId="21" fontId="2" numFmtId="0" xfId="0" applyBorder="1" applyFont="1"/>
    <xf borderId="10" fillId="21" fontId="2" numFmtId="166" xfId="0" applyBorder="1" applyFont="1" applyNumberFormat="1"/>
    <xf borderId="10" fillId="21" fontId="2" numFmtId="0" xfId="0" applyAlignment="1" applyBorder="1" applyFont="1">
      <alignment horizontal="right"/>
    </xf>
    <xf borderId="35" fillId="4" fontId="2" numFmtId="0" xfId="0" applyBorder="1" applyFont="1"/>
    <xf borderId="46" fillId="0" fontId="2" numFmtId="0" xfId="0" applyBorder="1" applyFont="1"/>
    <xf borderId="38" fillId="0" fontId="2" numFmtId="166" xfId="0" applyBorder="1" applyFont="1" applyNumberFormat="1"/>
    <xf borderId="8" fillId="0" fontId="2" numFmtId="0" xfId="0" applyBorder="1" applyFont="1"/>
    <xf borderId="44" fillId="4" fontId="2" numFmtId="0" xfId="0" applyBorder="1" applyFont="1"/>
    <xf borderId="47" fillId="0" fontId="2" numFmtId="0" xfId="0" applyBorder="1" applyFont="1"/>
    <xf borderId="7" fillId="0" fontId="2" numFmtId="0" xfId="0" applyBorder="1" applyFont="1"/>
    <xf borderId="29" fillId="0" fontId="23" numFmtId="0" xfId="0" applyAlignment="1" applyBorder="1" applyFont="1">
      <alignment horizontal="center" vertical="center"/>
    </xf>
    <xf borderId="48" fillId="0" fontId="4" numFmtId="0" xfId="0" applyBorder="1" applyFont="1"/>
    <xf borderId="49" fillId="29" fontId="2" numFmtId="166" xfId="0" applyAlignment="1" applyBorder="1" applyFont="1" applyNumberFormat="1">
      <alignment horizontal="center" vertical="center"/>
    </xf>
    <xf borderId="50" fillId="0" fontId="4" numFmtId="0" xfId="0" applyBorder="1" applyFont="1"/>
    <xf borderId="51" fillId="0" fontId="39" numFmtId="166" xfId="0" applyAlignment="1" applyBorder="1" applyFont="1" applyNumberFormat="1">
      <alignment horizontal="center" vertical="center"/>
    </xf>
    <xf borderId="52" fillId="0" fontId="4" numFmtId="0" xfId="0" applyBorder="1" applyFont="1"/>
    <xf borderId="53" fillId="0" fontId="4" numFmtId="0" xfId="0" applyBorder="1" applyFont="1"/>
    <xf borderId="54" fillId="0" fontId="4" numFmtId="0" xfId="0" applyBorder="1" applyFont="1"/>
    <xf borderId="55" fillId="0" fontId="4" numFmtId="0" xfId="0" applyBorder="1" applyFont="1"/>
    <xf borderId="7" fillId="0" fontId="11" numFmtId="0" xfId="0" applyAlignment="1" applyBorder="1" applyFont="1">
      <alignment horizontal="center"/>
    </xf>
    <xf borderId="45" fillId="7" fontId="2" numFmtId="166" xfId="0" applyBorder="1" applyFont="1" applyNumberFormat="1"/>
    <xf borderId="29" fillId="5" fontId="11" numFmtId="0" xfId="0" applyAlignment="1" applyBorder="1" applyFont="1">
      <alignment horizontal="center" vertical="center"/>
    </xf>
    <xf borderId="31" fillId="0" fontId="41" numFmtId="166" xfId="0" applyAlignment="1" applyBorder="1" applyFont="1" applyNumberFormat="1">
      <alignment horizontal="center" vertical="center"/>
    </xf>
    <xf borderId="31" fillId="0" fontId="39" numFmtId="166" xfId="0" applyAlignment="1" applyBorder="1" applyFont="1" applyNumberFormat="1">
      <alignment horizontal="center" vertical="center"/>
    </xf>
    <xf borderId="56" fillId="0" fontId="23" numFmtId="0" xfId="0" applyAlignment="1" applyBorder="1" applyFont="1">
      <alignment horizontal="center" vertical="center"/>
    </xf>
    <xf borderId="57" fillId="0" fontId="4" numFmtId="0" xfId="0" applyBorder="1" applyFont="1"/>
    <xf borderId="58" fillId="0" fontId="39" numFmtId="166" xfId="0" applyAlignment="1" applyBorder="1" applyFont="1" applyNumberFormat="1">
      <alignment horizontal="center" vertical="center"/>
    </xf>
    <xf borderId="10" fillId="12" fontId="2" numFmtId="166" xfId="0" applyBorder="1" applyFont="1" applyNumberFormat="1"/>
    <xf borderId="0" fillId="0" fontId="2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right"/>
    </xf>
    <xf borderId="35" fillId="6" fontId="2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vmlDrawing2.v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168</xdr:row>
      <xdr:rowOff>142875</xdr:rowOff>
    </xdr:from>
    <xdr:ext cx="10982325" cy="6781800"/>
    <xdr:pic>
      <xdr:nvPicPr>
        <xdr:cNvPr id="1857291635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Relationship Id="rId4" Type="http://schemas.openxmlformats.org/officeDocument/2006/relationships/oleObject" Target="../embeddings/oleObject2.bin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2.vml"/><Relationship Id="rId3" Type="http://schemas.openxmlformats.org/officeDocument/2006/relationships/oleObject" Target="../embeddings/oleObject3.bin"/><Relationship Id="rId4" Type="http://schemas.openxmlformats.org/officeDocument/2006/relationships/oleObject" Target="../embeddings/oleObject4.bin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5.43"/>
    <col customWidth="1" min="3" max="3" width="76.43"/>
    <col customWidth="1" min="4" max="4" width="21.14"/>
    <col customWidth="1" min="5" max="5" width="23.86"/>
    <col customWidth="1" min="6" max="6" width="21.71"/>
    <col customWidth="1" min="7" max="7" width="43.43"/>
    <col customWidth="1" min="8" max="8" width="27.0"/>
    <col customWidth="1" min="9" max="11" width="8.86"/>
    <col customWidth="1" min="12" max="12" width="62.0"/>
    <col customWidth="1" min="13" max="13" width="57.71"/>
    <col customWidth="1" min="14" max="14" width="23.29"/>
    <col customWidth="1" min="15" max="15" width="20.29"/>
    <col customWidth="1" min="16" max="16" width="19.14"/>
    <col customWidth="1" min="17" max="17" width="8.86"/>
    <col customWidth="1" min="18" max="18" width="82.57"/>
    <col customWidth="1" min="19" max="19" width="53.29"/>
    <col customWidth="1" min="20" max="20" width="19.14"/>
    <col customWidth="1" min="21" max="21" width="30.14"/>
    <col customWidth="1" min="22" max="22" width="16.71"/>
    <col customWidth="1" min="23" max="23" width="21.86"/>
    <col customWidth="1" min="24" max="25" width="8.86"/>
    <col customWidth="1" min="26" max="26" width="59.14"/>
    <col customWidth="1" min="27" max="27" width="15.71"/>
    <col customWidth="1" min="28" max="28" width="8.86"/>
    <col customWidth="1" min="29" max="29" width="72.71"/>
    <col customWidth="1" min="30" max="30" width="19.86"/>
    <col customWidth="1" min="31" max="31" width="8.86"/>
    <col customWidth="1" min="32" max="32" width="78.71"/>
    <col customWidth="1" min="33" max="33" width="20.43"/>
    <col customWidth="1" min="34" max="37" width="8.86"/>
  </cols>
  <sheetData>
    <row r="1">
      <c r="A1" s="1" t="s">
        <v>0</v>
      </c>
      <c r="B1" s="2"/>
      <c r="D1" s="3"/>
      <c r="M1" s="4"/>
      <c r="N1" s="5"/>
      <c r="S1" s="4"/>
      <c r="T1" s="5"/>
      <c r="V1" s="5"/>
      <c r="AE1" s="6" t="s">
        <v>1</v>
      </c>
      <c r="AF1" s="6"/>
      <c r="AG1" s="6" t="s">
        <v>1</v>
      </c>
      <c r="AH1" s="6"/>
      <c r="AI1" s="6"/>
    </row>
    <row r="2">
      <c r="D2" s="3"/>
      <c r="M2" s="4"/>
      <c r="N2" s="5"/>
      <c r="S2" s="4"/>
      <c r="T2" s="5"/>
      <c r="V2" s="5"/>
    </row>
    <row r="3" ht="36.75" customHeight="1">
      <c r="A3" s="7" t="s">
        <v>1</v>
      </c>
      <c r="B3" s="8" t="s">
        <v>2</v>
      </c>
      <c r="C3" s="9"/>
      <c r="D3" s="9"/>
      <c r="E3" s="9"/>
      <c r="F3" s="9"/>
      <c r="G3" s="9"/>
      <c r="H3" s="10"/>
      <c r="L3" s="11" t="s">
        <v>3</v>
      </c>
      <c r="M3" s="12"/>
      <c r="N3" s="12"/>
      <c r="O3" s="12"/>
      <c r="P3" s="13"/>
      <c r="R3" s="14" t="s">
        <v>4</v>
      </c>
      <c r="S3" s="12"/>
      <c r="T3" s="12"/>
      <c r="U3" s="12"/>
      <c r="V3" s="12"/>
      <c r="W3" s="13"/>
      <c r="Z3" s="15" t="s">
        <v>5</v>
      </c>
      <c r="AA3" s="16"/>
      <c r="AC3" s="15" t="s">
        <v>6</v>
      </c>
      <c r="AD3" s="16"/>
      <c r="AF3" s="15" t="s">
        <v>7</v>
      </c>
      <c r="AG3" s="16"/>
    </row>
    <row r="4">
      <c r="B4" s="17" t="s">
        <v>8</v>
      </c>
      <c r="C4" s="18" t="s">
        <v>9</v>
      </c>
      <c r="D4" s="19" t="s">
        <v>10</v>
      </c>
      <c r="E4" s="20" t="s">
        <v>11</v>
      </c>
      <c r="F4" s="21" t="s">
        <v>12</v>
      </c>
      <c r="G4" s="22" t="s">
        <v>13</v>
      </c>
      <c r="H4" s="23" t="s">
        <v>14</v>
      </c>
      <c r="L4" s="24" t="s">
        <v>15</v>
      </c>
      <c r="M4" s="25" t="s">
        <v>9</v>
      </c>
      <c r="N4" s="26" t="s">
        <v>11</v>
      </c>
      <c r="O4" s="27" t="s">
        <v>16</v>
      </c>
      <c r="P4" s="28" t="s">
        <v>17</v>
      </c>
      <c r="R4" s="29" t="s">
        <v>15</v>
      </c>
      <c r="S4" s="30" t="s">
        <v>9</v>
      </c>
      <c r="T4" s="31" t="s">
        <v>11</v>
      </c>
      <c r="U4" s="32" t="s">
        <v>16</v>
      </c>
      <c r="V4" s="33" t="s">
        <v>17</v>
      </c>
      <c r="W4" s="34" t="s">
        <v>18</v>
      </c>
    </row>
    <row r="5">
      <c r="A5" s="35">
        <v>1.0</v>
      </c>
      <c r="B5" s="36" t="s">
        <v>19</v>
      </c>
      <c r="C5" s="37">
        <v>45979.0</v>
      </c>
      <c r="D5" s="19">
        <f t="shared" ref="D5:D136" si="1">IF(C5="","",C5)</f>
        <v>45979</v>
      </c>
      <c r="E5" s="38">
        <v>480.0</v>
      </c>
      <c r="F5" s="21"/>
      <c r="G5" s="22"/>
      <c r="H5" s="39"/>
      <c r="L5" s="40" t="s">
        <v>20</v>
      </c>
      <c r="M5" s="41">
        <v>45978.0</v>
      </c>
      <c r="N5" s="42">
        <v>275.0</v>
      </c>
      <c r="O5" s="43"/>
      <c r="P5" s="44"/>
      <c r="R5" s="45" t="s">
        <v>21</v>
      </c>
      <c r="S5" s="46">
        <v>45981.0</v>
      </c>
      <c r="T5" s="47">
        <v>250.0</v>
      </c>
      <c r="U5" s="48" t="s">
        <v>22</v>
      </c>
      <c r="V5" s="49">
        <v>250.0</v>
      </c>
      <c r="W5" s="50"/>
      <c r="X5" s="6">
        <v>1.0</v>
      </c>
      <c r="Z5" s="51" t="s">
        <v>23</v>
      </c>
      <c r="AA5" s="52">
        <v>14.0</v>
      </c>
      <c r="AC5" s="51" t="s">
        <v>24</v>
      </c>
      <c r="AD5" s="52">
        <v>102.0</v>
      </c>
      <c r="AF5" s="53" t="s">
        <v>25</v>
      </c>
      <c r="AG5" s="54">
        <v>900.0</v>
      </c>
    </row>
    <row r="6">
      <c r="A6" s="35">
        <v>2.0</v>
      </c>
      <c r="B6" s="36" t="s">
        <v>26</v>
      </c>
      <c r="C6" s="37">
        <v>45980.0</v>
      </c>
      <c r="D6" s="19">
        <f t="shared" si="1"/>
        <v>45980</v>
      </c>
      <c r="E6" s="38">
        <v>500.0</v>
      </c>
      <c r="F6" s="21"/>
      <c r="G6" s="22"/>
      <c r="H6" s="39"/>
      <c r="L6" s="55" t="s">
        <v>27</v>
      </c>
      <c r="M6" s="41">
        <v>45991.0</v>
      </c>
      <c r="N6" s="42">
        <v>500.0</v>
      </c>
      <c r="O6" s="43"/>
      <c r="P6" s="44"/>
      <c r="R6" s="45" t="s">
        <v>28</v>
      </c>
      <c r="S6" s="46">
        <v>45983.0</v>
      </c>
      <c r="T6" s="47">
        <v>278.0</v>
      </c>
      <c r="U6" s="48" t="s">
        <v>29</v>
      </c>
      <c r="V6" s="49">
        <v>278.0</v>
      </c>
      <c r="W6" s="56"/>
      <c r="X6" s="6">
        <v>1.0</v>
      </c>
      <c r="Z6" s="51" t="s">
        <v>30</v>
      </c>
      <c r="AA6" s="52">
        <v>87.0</v>
      </c>
      <c r="AC6" s="51" t="s">
        <v>31</v>
      </c>
      <c r="AD6" s="52">
        <v>95.0</v>
      </c>
      <c r="AF6" s="53"/>
      <c r="AG6" s="52"/>
    </row>
    <row r="7">
      <c r="A7" s="35">
        <v>3.0</v>
      </c>
      <c r="B7" s="36" t="s">
        <v>32</v>
      </c>
      <c r="C7" s="37">
        <v>45981.0</v>
      </c>
      <c r="D7" s="19">
        <f t="shared" si="1"/>
        <v>45981</v>
      </c>
      <c r="E7" s="38">
        <v>440.0</v>
      </c>
      <c r="F7" s="21"/>
      <c r="G7" s="22"/>
      <c r="H7" s="39"/>
      <c r="L7" s="55" t="s">
        <v>27</v>
      </c>
      <c r="M7" s="41">
        <v>45992.0</v>
      </c>
      <c r="N7" s="42">
        <v>300.0</v>
      </c>
      <c r="O7" s="43"/>
      <c r="P7" s="44"/>
      <c r="R7" s="45" t="s">
        <v>33</v>
      </c>
      <c r="S7" s="46">
        <v>45983.0</v>
      </c>
      <c r="T7" s="47">
        <v>100.0</v>
      </c>
      <c r="U7" s="48" t="s">
        <v>29</v>
      </c>
      <c r="V7" s="49">
        <v>100.0</v>
      </c>
      <c r="W7" s="50"/>
      <c r="X7" s="6">
        <v>1.0</v>
      </c>
      <c r="Z7" s="51" t="s">
        <v>34</v>
      </c>
      <c r="AA7" s="52">
        <v>65.0</v>
      </c>
      <c r="AC7" s="51" t="s">
        <v>35</v>
      </c>
      <c r="AD7" s="52">
        <v>1200.0</v>
      </c>
      <c r="AF7" s="53"/>
      <c r="AG7" s="52"/>
    </row>
    <row r="8">
      <c r="A8" s="35">
        <v>4.0</v>
      </c>
      <c r="B8" s="36" t="s">
        <v>36</v>
      </c>
      <c r="C8" s="37">
        <v>45983.0</v>
      </c>
      <c r="D8" s="19">
        <f t="shared" si="1"/>
        <v>45983</v>
      </c>
      <c r="E8" s="38">
        <v>3000.0</v>
      </c>
      <c r="F8" s="21"/>
      <c r="G8" s="22"/>
      <c r="H8" s="39"/>
      <c r="L8" s="57" t="s">
        <v>37</v>
      </c>
      <c r="M8" s="41">
        <v>45993.0</v>
      </c>
      <c r="N8" s="42">
        <v>63.0</v>
      </c>
      <c r="O8" s="43"/>
      <c r="P8" s="44"/>
      <c r="R8" s="45" t="s">
        <v>38</v>
      </c>
      <c r="S8" s="46">
        <v>45986.0</v>
      </c>
      <c r="T8" s="47">
        <v>100.0</v>
      </c>
      <c r="U8" s="58"/>
      <c r="V8" s="50">
        <v>100.0</v>
      </c>
      <c r="W8" s="56"/>
      <c r="Z8" s="51" t="s">
        <v>39</v>
      </c>
      <c r="AA8" s="52">
        <v>0.0</v>
      </c>
      <c r="AC8" s="51"/>
      <c r="AD8" s="52"/>
      <c r="AF8" s="51"/>
      <c r="AG8" s="52"/>
    </row>
    <row r="9">
      <c r="A9" s="35">
        <v>5.0</v>
      </c>
      <c r="B9" s="36" t="s">
        <v>40</v>
      </c>
      <c r="C9" s="37">
        <v>45985.0</v>
      </c>
      <c r="D9" s="19">
        <f t="shared" si="1"/>
        <v>45985</v>
      </c>
      <c r="E9" s="38">
        <v>100.0</v>
      </c>
      <c r="F9" s="21"/>
      <c r="G9" s="22"/>
      <c r="H9" s="39"/>
      <c r="L9" s="55" t="s">
        <v>27</v>
      </c>
      <c r="M9" s="41">
        <v>45995.0</v>
      </c>
      <c r="N9" s="42">
        <v>500.0</v>
      </c>
      <c r="O9" s="43"/>
      <c r="P9" s="44"/>
      <c r="R9" s="45" t="s">
        <v>41</v>
      </c>
      <c r="S9" s="46">
        <v>45986.0</v>
      </c>
      <c r="T9" s="47">
        <v>65.0</v>
      </c>
      <c r="U9" s="48" t="s">
        <v>42</v>
      </c>
      <c r="V9" s="49"/>
      <c r="W9" s="56"/>
      <c r="X9" s="6">
        <v>1.0</v>
      </c>
      <c r="Z9" s="51" t="s">
        <v>43</v>
      </c>
      <c r="AA9" s="52">
        <v>110.0</v>
      </c>
      <c r="AC9" s="51"/>
      <c r="AD9" s="52"/>
      <c r="AF9" s="51"/>
      <c r="AG9" s="52"/>
    </row>
    <row r="10">
      <c r="A10" s="35">
        <v>6.0</v>
      </c>
      <c r="B10" s="36" t="s">
        <v>44</v>
      </c>
      <c r="C10" s="37">
        <v>45985.0</v>
      </c>
      <c r="D10" s="19">
        <f t="shared" si="1"/>
        <v>45985</v>
      </c>
      <c r="E10" s="38">
        <v>280.0</v>
      </c>
      <c r="F10" s="21"/>
      <c r="G10" s="22"/>
      <c r="H10" s="39"/>
      <c r="L10" s="55" t="s">
        <v>27</v>
      </c>
      <c r="M10" s="41">
        <v>45995.0</v>
      </c>
      <c r="N10" s="42">
        <v>300.0</v>
      </c>
      <c r="O10" s="43"/>
      <c r="P10" s="44"/>
      <c r="R10" s="45" t="s">
        <v>45</v>
      </c>
      <c r="S10" s="46">
        <v>45992.0</v>
      </c>
      <c r="T10" s="47">
        <v>363.0</v>
      </c>
      <c r="U10" s="48" t="s">
        <v>29</v>
      </c>
      <c r="V10" s="49">
        <v>363.0</v>
      </c>
      <c r="W10" s="50"/>
      <c r="X10" s="6">
        <v>1.0</v>
      </c>
      <c r="Z10" s="59" t="s">
        <v>46</v>
      </c>
      <c r="AA10" s="52">
        <f>SUM(AA5:AA9)</f>
        <v>276</v>
      </c>
      <c r="AC10" s="59" t="s">
        <v>46</v>
      </c>
      <c r="AD10" s="52">
        <f>SUM(AD5:AD9)</f>
        <v>1397</v>
      </c>
      <c r="AF10" s="59" t="s">
        <v>46</v>
      </c>
      <c r="AG10" s="52">
        <f>SUM(AG5:AG9)</f>
        <v>900</v>
      </c>
    </row>
    <row r="11">
      <c r="A11" s="35">
        <v>7.0</v>
      </c>
      <c r="B11" s="36" t="s">
        <v>19</v>
      </c>
      <c r="C11" s="37">
        <v>45986.0</v>
      </c>
      <c r="D11" s="19">
        <f t="shared" si="1"/>
        <v>45986</v>
      </c>
      <c r="E11" s="38">
        <v>500.0</v>
      </c>
      <c r="F11" s="21"/>
      <c r="G11" s="22"/>
      <c r="H11" s="39"/>
      <c r="L11" s="55" t="s">
        <v>27</v>
      </c>
      <c r="M11" s="41">
        <v>45997.0</v>
      </c>
      <c r="N11" s="42">
        <v>100.0</v>
      </c>
      <c r="O11" s="43"/>
      <c r="P11" s="44"/>
      <c r="R11" s="45" t="s">
        <v>47</v>
      </c>
      <c r="S11" s="46">
        <v>46004.0</v>
      </c>
      <c r="T11" s="47">
        <v>1028.0</v>
      </c>
      <c r="U11" s="48" t="s">
        <v>48</v>
      </c>
      <c r="V11" s="49">
        <v>1028.0</v>
      </c>
      <c r="W11" s="50"/>
      <c r="X11" s="6">
        <v>1.0</v>
      </c>
    </row>
    <row r="12">
      <c r="A12" s="35">
        <v>8.0</v>
      </c>
      <c r="B12" s="36" t="s">
        <v>26</v>
      </c>
      <c r="C12" s="37">
        <v>45987.0</v>
      </c>
      <c r="D12" s="19">
        <f t="shared" si="1"/>
        <v>45987</v>
      </c>
      <c r="E12" s="38">
        <v>500.0</v>
      </c>
      <c r="F12" s="21"/>
      <c r="G12" s="22"/>
      <c r="H12" s="39"/>
      <c r="L12" s="55" t="s">
        <v>27</v>
      </c>
      <c r="M12" s="41">
        <v>46000.0</v>
      </c>
      <c r="N12" s="42">
        <v>500.0</v>
      </c>
      <c r="O12" s="43"/>
      <c r="P12" s="44"/>
      <c r="R12" s="45" t="s">
        <v>49</v>
      </c>
      <c r="S12" s="46">
        <v>46007.0</v>
      </c>
      <c r="T12" s="60">
        <v>200.0</v>
      </c>
      <c r="U12" s="48" t="s">
        <v>50</v>
      </c>
      <c r="V12" s="49">
        <v>200.0</v>
      </c>
      <c r="W12" s="56"/>
      <c r="X12" s="50">
        <v>1.0</v>
      </c>
      <c r="Z12" s="15" t="s">
        <v>51</v>
      </c>
      <c r="AA12" s="16"/>
      <c r="AF12" s="52">
        <f>SUM(AA10,AD10,AG10,AA19)</f>
        <v>2673</v>
      </c>
    </row>
    <row r="13">
      <c r="A13" s="35">
        <v>9.0</v>
      </c>
      <c r="B13" s="36" t="s">
        <v>19</v>
      </c>
      <c r="C13" s="37">
        <v>45988.0</v>
      </c>
      <c r="D13" s="19">
        <f t="shared" si="1"/>
        <v>45988</v>
      </c>
      <c r="E13" s="38">
        <v>460.0</v>
      </c>
      <c r="F13" s="21"/>
      <c r="G13" s="22"/>
      <c r="H13" s="39"/>
      <c r="L13" s="55" t="s">
        <v>27</v>
      </c>
      <c r="M13" s="41">
        <v>46006.0</v>
      </c>
      <c r="N13" s="42">
        <v>1600.0</v>
      </c>
      <c r="O13" s="43"/>
      <c r="P13" s="44"/>
      <c r="R13" s="45" t="s">
        <v>52</v>
      </c>
      <c r="S13" s="46">
        <v>46010.0</v>
      </c>
      <c r="T13" s="60">
        <v>194.0</v>
      </c>
      <c r="U13" s="48" t="s">
        <v>53</v>
      </c>
      <c r="V13" s="49">
        <v>194.0</v>
      </c>
      <c r="W13" s="56"/>
      <c r="X13" s="6">
        <v>1.0</v>
      </c>
    </row>
    <row r="14">
      <c r="A14" s="35">
        <v>10.0</v>
      </c>
      <c r="B14" s="36" t="s">
        <v>54</v>
      </c>
      <c r="C14" s="37">
        <v>45989.0</v>
      </c>
      <c r="D14" s="19">
        <f t="shared" si="1"/>
        <v>45989</v>
      </c>
      <c r="E14" s="38">
        <v>360.0</v>
      </c>
      <c r="F14" s="21"/>
      <c r="G14" s="22"/>
      <c r="H14" s="39"/>
      <c r="L14" s="55" t="s">
        <v>27</v>
      </c>
      <c r="M14" s="41">
        <v>46007.0</v>
      </c>
      <c r="N14" s="42">
        <v>400.0</v>
      </c>
      <c r="O14" s="43"/>
      <c r="P14" s="44"/>
      <c r="R14" s="45" t="s">
        <v>55</v>
      </c>
      <c r="S14" s="46">
        <v>46016.0</v>
      </c>
      <c r="T14" s="47">
        <v>128.0</v>
      </c>
      <c r="U14" s="58"/>
      <c r="V14" s="49">
        <v>128.0</v>
      </c>
      <c r="W14" s="56"/>
      <c r="Z14" s="61" t="s">
        <v>56</v>
      </c>
      <c r="AA14" s="54">
        <v>100.0</v>
      </c>
    </row>
    <row r="15">
      <c r="A15" s="35">
        <v>11.0</v>
      </c>
      <c r="B15" s="36" t="s">
        <v>44</v>
      </c>
      <c r="C15" s="37">
        <v>45992.0</v>
      </c>
      <c r="D15" s="19">
        <f t="shared" si="1"/>
        <v>45992</v>
      </c>
      <c r="E15" s="38">
        <v>350.0</v>
      </c>
      <c r="F15" s="21"/>
      <c r="G15" s="22"/>
      <c r="H15" s="39"/>
      <c r="L15" s="55" t="s">
        <v>27</v>
      </c>
      <c r="M15" s="41">
        <v>46008.0</v>
      </c>
      <c r="N15" s="42">
        <v>200.0</v>
      </c>
      <c r="O15" s="43"/>
      <c r="P15" s="44"/>
      <c r="R15" s="45" t="s">
        <v>57</v>
      </c>
      <c r="S15" s="46">
        <v>46018.0</v>
      </c>
      <c r="T15" s="47">
        <v>380.0</v>
      </c>
      <c r="U15" s="58"/>
      <c r="V15" s="49">
        <v>380.0</v>
      </c>
      <c r="W15" s="56"/>
      <c r="Z15" s="51"/>
      <c r="AA15" s="52"/>
    </row>
    <row r="16">
      <c r="A16" s="35">
        <v>12.0</v>
      </c>
      <c r="B16" s="36" t="s">
        <v>26</v>
      </c>
      <c r="C16" s="37">
        <v>45994.0</v>
      </c>
      <c r="D16" s="19">
        <f t="shared" si="1"/>
        <v>45994</v>
      </c>
      <c r="E16" s="38">
        <v>500.0</v>
      </c>
      <c r="F16" s="21"/>
      <c r="G16" s="22"/>
      <c r="H16" s="39"/>
      <c r="L16" s="55" t="s">
        <v>27</v>
      </c>
      <c r="M16" s="41">
        <v>46009.0</v>
      </c>
      <c r="N16" s="42">
        <v>50.0</v>
      </c>
      <c r="O16" s="43"/>
      <c r="P16" s="44"/>
      <c r="R16" s="45" t="s">
        <v>58</v>
      </c>
      <c r="S16" s="46">
        <v>46016.0</v>
      </c>
      <c r="T16" s="47">
        <v>180.0</v>
      </c>
      <c r="U16" s="58"/>
      <c r="V16" s="49">
        <v>180.0</v>
      </c>
      <c r="W16" s="56"/>
      <c r="Z16" s="61"/>
      <c r="AA16" s="52"/>
    </row>
    <row r="17">
      <c r="A17" s="35">
        <v>13.0</v>
      </c>
      <c r="B17" s="36" t="s">
        <v>32</v>
      </c>
      <c r="C17" s="37">
        <v>45992.0</v>
      </c>
      <c r="D17" s="19">
        <f t="shared" si="1"/>
        <v>45992</v>
      </c>
      <c r="E17" s="38">
        <v>383.0</v>
      </c>
      <c r="F17" s="21"/>
      <c r="G17" s="22"/>
      <c r="H17" s="39"/>
      <c r="L17" s="55" t="s">
        <v>27</v>
      </c>
      <c r="M17" s="41">
        <v>46012.0</v>
      </c>
      <c r="N17" s="42">
        <v>400.0</v>
      </c>
      <c r="O17" s="43"/>
      <c r="P17" s="44"/>
      <c r="R17" s="45" t="s">
        <v>59</v>
      </c>
      <c r="S17" s="46">
        <v>46028.0</v>
      </c>
      <c r="T17" s="47">
        <v>200.0</v>
      </c>
      <c r="U17" s="58"/>
      <c r="V17" s="49">
        <v>200.0</v>
      </c>
      <c r="W17" s="56"/>
      <c r="Z17" s="51"/>
      <c r="AA17" s="52"/>
    </row>
    <row r="18">
      <c r="A18" s="35">
        <v>14.0</v>
      </c>
      <c r="B18" s="36" t="s">
        <v>32</v>
      </c>
      <c r="C18" s="37">
        <v>45995.0</v>
      </c>
      <c r="D18" s="19">
        <f t="shared" si="1"/>
        <v>45995</v>
      </c>
      <c r="E18" s="38">
        <v>325.0</v>
      </c>
      <c r="F18" s="21"/>
      <c r="G18" s="22"/>
      <c r="H18" s="39"/>
      <c r="L18" s="55" t="s">
        <v>27</v>
      </c>
      <c r="M18" s="41">
        <v>46014.0</v>
      </c>
      <c r="N18" s="42">
        <v>1150.0</v>
      </c>
      <c r="O18" s="43"/>
      <c r="P18" s="44"/>
      <c r="R18" s="45" t="s">
        <v>60</v>
      </c>
      <c r="S18" s="46">
        <v>46100.0</v>
      </c>
      <c r="T18" s="60">
        <v>50.0</v>
      </c>
      <c r="U18" s="58"/>
      <c r="V18" s="62"/>
      <c r="W18" s="50"/>
      <c r="Z18" s="51"/>
      <c r="AA18" s="52"/>
    </row>
    <row r="19">
      <c r="A19" s="35">
        <v>15.0</v>
      </c>
      <c r="B19" s="36" t="s">
        <v>61</v>
      </c>
      <c r="C19" s="37">
        <v>45994.0</v>
      </c>
      <c r="D19" s="19">
        <f t="shared" si="1"/>
        <v>45994</v>
      </c>
      <c r="E19" s="38">
        <v>375.0</v>
      </c>
      <c r="F19" s="21"/>
      <c r="G19" s="22"/>
      <c r="H19" s="39"/>
      <c r="L19" s="57" t="s">
        <v>62</v>
      </c>
      <c r="M19" s="41">
        <v>46015.0</v>
      </c>
      <c r="N19" s="42">
        <v>268.0</v>
      </c>
      <c r="O19" s="63" t="s">
        <v>63</v>
      </c>
      <c r="P19" s="44"/>
      <c r="R19" s="45" t="s">
        <v>64</v>
      </c>
      <c r="S19" s="46">
        <v>46103.0</v>
      </c>
      <c r="T19" s="60">
        <v>255.0</v>
      </c>
      <c r="U19" s="58"/>
      <c r="V19" s="49">
        <v>255.0</v>
      </c>
      <c r="W19" s="50"/>
      <c r="Z19" s="59" t="s">
        <v>46</v>
      </c>
      <c r="AA19" s="52">
        <f>SUM(AA14:AA18)</f>
        <v>100</v>
      </c>
    </row>
    <row r="20">
      <c r="A20" s="35">
        <v>16.0</v>
      </c>
      <c r="B20" s="36" t="s">
        <v>65</v>
      </c>
      <c r="C20" s="37">
        <v>46000.0</v>
      </c>
      <c r="D20" s="19">
        <f t="shared" si="1"/>
        <v>46000</v>
      </c>
      <c r="E20" s="38">
        <v>490.0</v>
      </c>
      <c r="F20" s="21"/>
      <c r="G20" s="22"/>
      <c r="H20" s="39"/>
      <c r="L20" s="57" t="s">
        <v>66</v>
      </c>
      <c r="M20" s="41">
        <v>46018.0</v>
      </c>
      <c r="N20" s="42">
        <v>32.0</v>
      </c>
      <c r="O20" s="43"/>
      <c r="P20" s="44"/>
      <c r="R20" s="45" t="s">
        <v>67</v>
      </c>
      <c r="S20" s="46">
        <v>46106.0</v>
      </c>
      <c r="T20" s="60">
        <v>122.0</v>
      </c>
      <c r="U20" s="58"/>
      <c r="V20" s="49">
        <v>122.0</v>
      </c>
      <c r="W20" s="50"/>
    </row>
    <row r="21" ht="15.75" customHeight="1">
      <c r="A21" s="35">
        <v>17.0</v>
      </c>
      <c r="B21" s="36" t="s">
        <v>26</v>
      </c>
      <c r="C21" s="37">
        <v>46001.0</v>
      </c>
      <c r="D21" s="19">
        <f t="shared" si="1"/>
        <v>46001</v>
      </c>
      <c r="E21" s="38">
        <v>500.0</v>
      </c>
      <c r="F21" s="21"/>
      <c r="G21" s="22"/>
      <c r="H21" s="39"/>
      <c r="L21" s="57" t="s">
        <v>68</v>
      </c>
      <c r="M21" s="41">
        <v>46030.0</v>
      </c>
      <c r="N21" s="42">
        <v>2076.0</v>
      </c>
      <c r="O21" s="43"/>
      <c r="P21" s="44"/>
      <c r="R21" s="45" t="s">
        <v>69</v>
      </c>
      <c r="S21" s="46">
        <v>46115.0</v>
      </c>
      <c r="T21" s="47">
        <v>15.0</v>
      </c>
      <c r="U21" s="48" t="s">
        <v>70</v>
      </c>
      <c r="V21" s="62"/>
      <c r="W21" s="50"/>
    </row>
    <row r="22" ht="15.75" customHeight="1">
      <c r="A22" s="35">
        <v>18.0</v>
      </c>
      <c r="B22" s="36" t="s">
        <v>61</v>
      </c>
      <c r="C22" s="37">
        <v>46001.0</v>
      </c>
      <c r="D22" s="19">
        <f t="shared" si="1"/>
        <v>46001</v>
      </c>
      <c r="E22" s="38">
        <v>270.0</v>
      </c>
      <c r="F22" s="21"/>
      <c r="G22" s="22"/>
      <c r="H22" s="39"/>
      <c r="L22" s="64" t="s">
        <v>71</v>
      </c>
      <c r="M22" s="41">
        <v>46034.0</v>
      </c>
      <c r="N22" s="42">
        <v>300.0</v>
      </c>
      <c r="O22" s="43"/>
      <c r="P22" s="44"/>
      <c r="R22" s="45" t="s">
        <v>72</v>
      </c>
      <c r="S22" s="46">
        <v>46119.0</v>
      </c>
      <c r="T22" s="47">
        <v>388.0</v>
      </c>
      <c r="U22" s="58"/>
      <c r="V22" s="62"/>
      <c r="W22" s="50"/>
    </row>
    <row r="23" ht="15.75" customHeight="1">
      <c r="A23" s="35">
        <v>19.0</v>
      </c>
      <c r="B23" s="36" t="s">
        <v>73</v>
      </c>
      <c r="C23" s="37">
        <v>46003.0</v>
      </c>
      <c r="D23" s="19">
        <f t="shared" si="1"/>
        <v>46003</v>
      </c>
      <c r="E23" s="38">
        <v>360.0</v>
      </c>
      <c r="F23" s="21"/>
      <c r="G23" s="22"/>
      <c r="H23" s="39"/>
      <c r="L23" s="64" t="s">
        <v>74</v>
      </c>
      <c r="M23" s="41">
        <v>46035.0</v>
      </c>
      <c r="N23" s="42">
        <v>830.0</v>
      </c>
      <c r="O23" s="43"/>
      <c r="P23" s="44"/>
      <c r="R23" s="45" t="s">
        <v>75</v>
      </c>
      <c r="S23" s="46">
        <v>46121.0</v>
      </c>
      <c r="T23" s="47">
        <v>1070.0</v>
      </c>
      <c r="U23" s="58"/>
      <c r="V23" s="62"/>
      <c r="W23" s="50"/>
    </row>
    <row r="24" ht="15.75" customHeight="1">
      <c r="A24" s="35">
        <v>20.0</v>
      </c>
      <c r="B24" s="36" t="s">
        <v>54</v>
      </c>
      <c r="C24" s="37">
        <v>46006.0</v>
      </c>
      <c r="D24" s="19">
        <f t="shared" si="1"/>
        <v>46006</v>
      </c>
      <c r="E24" s="38">
        <v>230.0</v>
      </c>
      <c r="F24" s="21"/>
      <c r="G24" s="22"/>
      <c r="H24" s="39"/>
      <c r="L24" s="64" t="s">
        <v>76</v>
      </c>
      <c r="M24" s="41">
        <v>46045.0</v>
      </c>
      <c r="N24" s="42">
        <v>375.0</v>
      </c>
      <c r="O24" s="43"/>
      <c r="P24" s="44"/>
      <c r="R24" s="53"/>
      <c r="S24" s="65"/>
      <c r="T24" s="66"/>
      <c r="U24" s="58"/>
      <c r="V24" s="62"/>
      <c r="W24" s="50"/>
    </row>
    <row r="25" ht="15.75" customHeight="1">
      <c r="A25" s="35">
        <v>21.0</v>
      </c>
      <c r="B25" s="36" t="s">
        <v>26</v>
      </c>
      <c r="C25" s="37">
        <v>46009.0</v>
      </c>
      <c r="D25" s="19">
        <f t="shared" si="1"/>
        <v>46009</v>
      </c>
      <c r="E25" s="38">
        <v>500.0</v>
      </c>
      <c r="F25" s="21"/>
      <c r="G25" s="22"/>
      <c r="H25" s="39"/>
      <c r="L25" s="64" t="s">
        <v>77</v>
      </c>
      <c r="M25" s="41">
        <v>46048.0</v>
      </c>
      <c r="N25" s="42">
        <v>200.0</v>
      </c>
      <c r="O25" s="43"/>
      <c r="P25" s="44"/>
      <c r="R25" s="53"/>
      <c r="S25" s="65"/>
      <c r="T25" s="66"/>
      <c r="U25" s="58"/>
      <c r="V25" s="62"/>
      <c r="W25" s="50"/>
    </row>
    <row r="26" ht="15.75" customHeight="1">
      <c r="A26" s="35">
        <v>22.0</v>
      </c>
      <c r="B26" s="36" t="s">
        <v>78</v>
      </c>
      <c r="C26" s="37">
        <v>46010.0</v>
      </c>
      <c r="D26" s="19">
        <f t="shared" si="1"/>
        <v>46010</v>
      </c>
      <c r="E26" s="38">
        <v>490.0</v>
      </c>
      <c r="F26" s="21"/>
      <c r="G26" s="22"/>
      <c r="H26" s="39"/>
      <c r="L26" s="67" t="s">
        <v>79</v>
      </c>
      <c r="M26" s="41">
        <v>46007.0</v>
      </c>
      <c r="N26" s="68">
        <v>33.0</v>
      </c>
      <c r="O26" s="43"/>
      <c r="P26" s="44"/>
      <c r="R26" s="53"/>
      <c r="S26" s="65"/>
      <c r="T26" s="66"/>
      <c r="U26" s="58"/>
      <c r="V26" s="62"/>
      <c r="W26" s="50"/>
    </row>
    <row r="27" ht="15.75" customHeight="1">
      <c r="A27" s="35">
        <v>23.0</v>
      </c>
      <c r="B27" s="36" t="s">
        <v>80</v>
      </c>
      <c r="C27" s="37">
        <v>46015.0</v>
      </c>
      <c r="D27" s="19">
        <f t="shared" si="1"/>
        <v>46015</v>
      </c>
      <c r="E27" s="38">
        <v>50.0</v>
      </c>
      <c r="F27" s="21"/>
      <c r="G27" s="22"/>
      <c r="H27" s="39"/>
      <c r="L27" s="67" t="s">
        <v>81</v>
      </c>
      <c r="M27" s="41">
        <v>46008.0</v>
      </c>
      <c r="N27" s="42">
        <v>112.0</v>
      </c>
      <c r="O27" s="43"/>
      <c r="P27" s="44"/>
      <c r="R27" s="53"/>
      <c r="S27" s="65"/>
      <c r="T27" s="66"/>
      <c r="U27" s="58"/>
      <c r="V27" s="62"/>
      <c r="W27" s="50"/>
    </row>
    <row r="28" ht="15.75" customHeight="1">
      <c r="A28" s="35">
        <v>24.0</v>
      </c>
      <c r="B28" s="36" t="s">
        <v>82</v>
      </c>
      <c r="C28" s="37">
        <v>46017.0</v>
      </c>
      <c r="D28" s="19">
        <f t="shared" si="1"/>
        <v>46017</v>
      </c>
      <c r="E28" s="38">
        <v>500.0</v>
      </c>
      <c r="F28" s="21"/>
      <c r="G28" s="22"/>
      <c r="H28" s="39"/>
      <c r="L28" s="67" t="s">
        <v>83</v>
      </c>
      <c r="M28" s="41">
        <v>46013.0</v>
      </c>
      <c r="N28" s="42">
        <v>3000.0</v>
      </c>
      <c r="O28" s="43"/>
      <c r="P28" s="44"/>
      <c r="R28" s="53"/>
      <c r="S28" s="65"/>
      <c r="T28" s="66"/>
      <c r="U28" s="58"/>
      <c r="V28" s="62"/>
      <c r="W28" s="50"/>
    </row>
    <row r="29" ht="15.75" customHeight="1">
      <c r="A29" s="35">
        <v>25.0</v>
      </c>
      <c r="B29" s="36" t="s">
        <v>61</v>
      </c>
      <c r="C29" s="37">
        <v>46017.0</v>
      </c>
      <c r="D29" s="19">
        <f t="shared" si="1"/>
        <v>46017</v>
      </c>
      <c r="E29" s="38">
        <v>400.0</v>
      </c>
      <c r="F29" s="21"/>
      <c r="G29" s="22"/>
      <c r="H29" s="39"/>
      <c r="L29" s="64" t="s">
        <v>84</v>
      </c>
      <c r="M29" s="41">
        <v>46051.0</v>
      </c>
      <c r="N29" s="42">
        <v>250.0</v>
      </c>
      <c r="O29" s="43"/>
      <c r="P29" s="44"/>
      <c r="R29" s="53"/>
      <c r="S29" s="65"/>
      <c r="T29" s="66"/>
      <c r="U29" s="58"/>
      <c r="V29" s="62"/>
      <c r="W29" s="50"/>
    </row>
    <row r="30" ht="15.75" customHeight="1">
      <c r="A30" s="35">
        <v>26.0</v>
      </c>
      <c r="B30" s="36" t="s">
        <v>82</v>
      </c>
      <c r="C30" s="37">
        <v>46024.0</v>
      </c>
      <c r="D30" s="19">
        <f t="shared" si="1"/>
        <v>46024</v>
      </c>
      <c r="E30" s="38">
        <v>370.0</v>
      </c>
      <c r="F30" s="21"/>
      <c r="G30" s="22"/>
      <c r="H30" s="39"/>
      <c r="L30" s="64" t="s">
        <v>85</v>
      </c>
      <c r="M30" s="41">
        <v>46056.0</v>
      </c>
      <c r="N30" s="42">
        <v>500.0</v>
      </c>
      <c r="O30" s="43"/>
      <c r="P30" s="44"/>
      <c r="R30" s="53"/>
      <c r="S30" s="65"/>
      <c r="T30" s="66"/>
      <c r="U30" s="58"/>
      <c r="V30" s="62"/>
      <c r="W30" s="50"/>
    </row>
    <row r="31" ht="15.75" customHeight="1">
      <c r="A31" s="35">
        <v>27.0</v>
      </c>
      <c r="B31" s="36" t="s">
        <v>61</v>
      </c>
      <c r="C31" s="37">
        <v>46024.0</v>
      </c>
      <c r="D31" s="19">
        <f t="shared" si="1"/>
        <v>46024</v>
      </c>
      <c r="E31" s="38">
        <v>350.0</v>
      </c>
      <c r="F31" s="21"/>
      <c r="G31" s="22"/>
      <c r="H31" s="39"/>
      <c r="L31" s="64" t="s">
        <v>86</v>
      </c>
      <c r="M31" s="41">
        <v>46057.0</v>
      </c>
      <c r="N31" s="42">
        <v>600.0</v>
      </c>
      <c r="O31" s="69"/>
      <c r="P31" s="70"/>
      <c r="Q31" s="71"/>
      <c r="R31" s="72"/>
      <c r="S31" s="65"/>
      <c r="T31" s="66"/>
      <c r="U31" s="58"/>
      <c r="V31" s="62"/>
      <c r="W31" s="50"/>
    </row>
    <row r="32" ht="15.75" customHeight="1">
      <c r="A32" s="35">
        <v>28.0</v>
      </c>
      <c r="B32" s="36" t="s">
        <v>82</v>
      </c>
      <c r="C32" s="37">
        <v>46045.0</v>
      </c>
      <c r="D32" s="19">
        <f t="shared" si="1"/>
        <v>46045</v>
      </c>
      <c r="E32" s="38">
        <v>375.0</v>
      </c>
      <c r="F32" s="21"/>
      <c r="G32" s="22"/>
      <c r="H32" s="39"/>
      <c r="L32" s="64" t="s">
        <v>87</v>
      </c>
      <c r="M32" s="41">
        <v>46059.0</v>
      </c>
      <c r="N32" s="42">
        <v>945.0</v>
      </c>
      <c r="O32" s="73" t="s">
        <v>88</v>
      </c>
      <c r="P32" s="70"/>
      <c r="Q32" s="71"/>
      <c r="R32" s="72"/>
      <c r="S32" s="65"/>
      <c r="T32" s="66"/>
      <c r="U32" s="58"/>
      <c r="V32" s="62"/>
      <c r="W32" s="50"/>
    </row>
    <row r="33" ht="15.75" customHeight="1">
      <c r="A33" s="35">
        <v>29.0</v>
      </c>
      <c r="B33" s="36" t="s">
        <v>89</v>
      </c>
      <c r="C33" s="37">
        <v>46048.0</v>
      </c>
      <c r="D33" s="19">
        <f t="shared" si="1"/>
        <v>46048</v>
      </c>
      <c r="E33" s="38">
        <v>200.0</v>
      </c>
      <c r="F33" s="21"/>
      <c r="G33" s="22"/>
      <c r="H33" s="39"/>
      <c r="L33" s="74" t="s">
        <v>90</v>
      </c>
      <c r="M33" s="41">
        <v>46066.0</v>
      </c>
      <c r="N33" s="42">
        <v>1000.0</v>
      </c>
      <c r="O33" s="69"/>
      <c r="P33" s="70"/>
      <c r="Q33" s="71"/>
      <c r="R33" s="72"/>
      <c r="S33" s="65"/>
      <c r="T33" s="66"/>
      <c r="U33" s="58"/>
      <c r="V33" s="62"/>
      <c r="W33" s="50"/>
    </row>
    <row r="34" ht="15.75" customHeight="1">
      <c r="A34" s="35">
        <v>30.0</v>
      </c>
      <c r="B34" s="36" t="s">
        <v>61</v>
      </c>
      <c r="C34" s="37">
        <v>46050.0</v>
      </c>
      <c r="D34" s="19">
        <f t="shared" si="1"/>
        <v>46050</v>
      </c>
      <c r="E34" s="38">
        <v>120.0</v>
      </c>
      <c r="F34" s="21"/>
      <c r="G34" s="22"/>
      <c r="H34" s="39"/>
      <c r="L34" s="74" t="s">
        <v>91</v>
      </c>
      <c r="M34" s="41">
        <v>46069.0</v>
      </c>
      <c r="N34" s="42">
        <v>225.0</v>
      </c>
      <c r="O34" s="69"/>
      <c r="P34" s="70"/>
      <c r="Q34" s="71"/>
      <c r="R34" s="72"/>
      <c r="S34" s="65"/>
      <c r="T34" s="66"/>
      <c r="U34" s="58"/>
      <c r="V34" s="62"/>
      <c r="W34" s="50"/>
    </row>
    <row r="35" ht="15.75" customHeight="1">
      <c r="A35" s="35">
        <v>31.0</v>
      </c>
      <c r="B35" s="36" t="s">
        <v>54</v>
      </c>
      <c r="C35" s="37">
        <v>46051.0</v>
      </c>
      <c r="D35" s="19">
        <f t="shared" si="1"/>
        <v>46051</v>
      </c>
      <c r="E35" s="38">
        <v>250.0</v>
      </c>
      <c r="F35" s="21"/>
      <c r="G35" s="22"/>
      <c r="H35" s="39"/>
      <c r="L35" s="74" t="s">
        <v>92</v>
      </c>
      <c r="M35" s="41">
        <v>46073.0</v>
      </c>
      <c r="N35" s="42">
        <v>1700.0</v>
      </c>
      <c r="O35" s="69"/>
      <c r="P35" s="70"/>
      <c r="Q35" s="71"/>
      <c r="R35" s="72"/>
      <c r="S35" s="65"/>
      <c r="T35" s="66"/>
      <c r="U35" s="58"/>
      <c r="V35" s="62"/>
      <c r="W35" s="50"/>
    </row>
    <row r="36" ht="15.75" customHeight="1">
      <c r="A36" s="35">
        <v>32.0</v>
      </c>
      <c r="B36" s="36" t="s">
        <v>93</v>
      </c>
      <c r="C36" s="37">
        <v>46052.0</v>
      </c>
      <c r="D36" s="19">
        <f t="shared" si="1"/>
        <v>46052</v>
      </c>
      <c r="E36" s="38">
        <v>100.0</v>
      </c>
      <c r="F36" s="21"/>
      <c r="G36" s="22"/>
      <c r="H36" s="39"/>
      <c r="L36" s="74" t="s">
        <v>94</v>
      </c>
      <c r="M36" s="41">
        <v>46077.0</v>
      </c>
      <c r="N36" s="42">
        <v>750.0</v>
      </c>
      <c r="O36" s="69"/>
      <c r="P36" s="70"/>
      <c r="Q36" s="71"/>
      <c r="R36" s="72"/>
      <c r="S36" s="65"/>
      <c r="T36" s="66"/>
      <c r="U36" s="58"/>
      <c r="V36" s="62"/>
      <c r="W36" s="50"/>
    </row>
    <row r="37" ht="15.75" customHeight="1">
      <c r="A37" s="35">
        <v>33.0</v>
      </c>
      <c r="B37" s="36" t="s">
        <v>82</v>
      </c>
      <c r="C37" s="37">
        <v>46052.0</v>
      </c>
      <c r="D37" s="19">
        <f t="shared" si="1"/>
        <v>46052</v>
      </c>
      <c r="E37" s="38">
        <v>380.0</v>
      </c>
      <c r="F37" s="21"/>
      <c r="G37" s="22"/>
      <c r="H37" s="39"/>
      <c r="L37" s="74" t="s">
        <v>95</v>
      </c>
      <c r="M37" s="41">
        <v>46077.0</v>
      </c>
      <c r="N37" s="42">
        <v>370.0</v>
      </c>
      <c r="O37" s="69"/>
      <c r="P37" s="70"/>
      <c r="Q37" s="71"/>
      <c r="R37" s="72"/>
      <c r="S37" s="65"/>
      <c r="T37" s="66"/>
      <c r="U37" s="58"/>
      <c r="V37" s="62"/>
      <c r="W37" s="50"/>
    </row>
    <row r="38" ht="15.75" customHeight="1">
      <c r="A38" s="35">
        <v>34.0</v>
      </c>
      <c r="B38" s="36" t="s">
        <v>96</v>
      </c>
      <c r="C38" s="37">
        <v>46055.0</v>
      </c>
      <c r="D38" s="19">
        <f t="shared" si="1"/>
        <v>46055</v>
      </c>
      <c r="E38" s="38">
        <v>250.0</v>
      </c>
      <c r="F38" s="21"/>
      <c r="G38" s="22"/>
      <c r="H38" s="39"/>
      <c r="L38" s="74" t="s">
        <v>97</v>
      </c>
      <c r="M38" s="41">
        <v>46078.0</v>
      </c>
      <c r="N38" s="42">
        <v>390.0</v>
      </c>
      <c r="O38" s="69"/>
      <c r="P38" s="70"/>
      <c r="Q38" s="71"/>
      <c r="R38" s="72"/>
      <c r="S38" s="65"/>
      <c r="T38" s="66"/>
      <c r="U38" s="58"/>
      <c r="V38" s="62"/>
      <c r="W38" s="50"/>
    </row>
    <row r="39" ht="15.75" customHeight="1">
      <c r="A39" s="35">
        <v>35.0</v>
      </c>
      <c r="B39" s="36" t="s">
        <v>19</v>
      </c>
      <c r="C39" s="37">
        <v>46055.0</v>
      </c>
      <c r="D39" s="19">
        <f t="shared" si="1"/>
        <v>46055</v>
      </c>
      <c r="E39" s="38">
        <v>250.0</v>
      </c>
      <c r="F39" s="21"/>
      <c r="G39" s="22"/>
      <c r="H39" s="39"/>
      <c r="L39" s="74" t="s">
        <v>98</v>
      </c>
      <c r="M39" s="41">
        <v>46079.0</v>
      </c>
      <c r="N39" s="42">
        <v>380.0</v>
      </c>
      <c r="O39" s="69"/>
      <c r="P39" s="70"/>
      <c r="Q39" s="71"/>
      <c r="R39" s="72"/>
      <c r="S39" s="65"/>
      <c r="T39" s="66"/>
      <c r="U39" s="58"/>
      <c r="V39" s="62"/>
      <c r="W39" s="50"/>
    </row>
    <row r="40" ht="15.75" customHeight="1">
      <c r="A40" s="35">
        <v>36.0</v>
      </c>
      <c r="B40" s="36" t="s">
        <v>26</v>
      </c>
      <c r="C40" s="37">
        <v>46057.0</v>
      </c>
      <c r="D40" s="19">
        <f t="shared" si="1"/>
        <v>46057</v>
      </c>
      <c r="E40" s="38">
        <v>250.0</v>
      </c>
      <c r="F40" s="21"/>
      <c r="G40" s="22"/>
      <c r="H40" s="39"/>
      <c r="L40" s="74" t="s">
        <v>99</v>
      </c>
      <c r="M40" s="41">
        <v>46079.0</v>
      </c>
      <c r="N40" s="42">
        <v>500.0</v>
      </c>
      <c r="O40" s="69"/>
      <c r="P40" s="70"/>
      <c r="Q40" s="71"/>
      <c r="R40" s="72"/>
      <c r="S40" s="65"/>
      <c r="T40" s="66"/>
      <c r="U40" s="58"/>
      <c r="V40" s="62"/>
      <c r="W40" s="50"/>
    </row>
    <row r="41" ht="15.75" customHeight="1">
      <c r="A41" s="35">
        <v>37.0</v>
      </c>
      <c r="B41" s="36" t="s">
        <v>61</v>
      </c>
      <c r="C41" s="37">
        <v>46057.0</v>
      </c>
      <c r="D41" s="19">
        <f t="shared" si="1"/>
        <v>46057</v>
      </c>
      <c r="E41" s="38">
        <v>330.0</v>
      </c>
      <c r="F41" s="21"/>
      <c r="G41" s="22"/>
      <c r="H41" s="39"/>
      <c r="L41" s="74" t="s">
        <v>100</v>
      </c>
      <c r="M41" s="41">
        <v>46080.0</v>
      </c>
      <c r="N41" s="42">
        <v>500.0</v>
      </c>
      <c r="O41" s="69"/>
      <c r="P41" s="70"/>
      <c r="Q41" s="71"/>
      <c r="R41" s="72"/>
      <c r="S41" s="65"/>
      <c r="T41" s="66"/>
      <c r="U41" s="58"/>
      <c r="V41" s="62"/>
      <c r="W41" s="50"/>
    </row>
    <row r="42" ht="15.75" customHeight="1">
      <c r="A42" s="35">
        <v>38.0</v>
      </c>
      <c r="B42" s="36" t="s">
        <v>61</v>
      </c>
      <c r="C42" s="37">
        <v>46058.0</v>
      </c>
      <c r="D42" s="19">
        <f t="shared" si="1"/>
        <v>46058</v>
      </c>
      <c r="E42" s="38">
        <v>365.0</v>
      </c>
      <c r="F42" s="21"/>
      <c r="G42" s="22"/>
      <c r="H42" s="39"/>
      <c r="L42" s="74" t="s">
        <v>101</v>
      </c>
      <c r="M42" s="41">
        <v>46082.0</v>
      </c>
      <c r="N42" s="42">
        <v>200.0</v>
      </c>
      <c r="O42" s="75" t="s">
        <v>102</v>
      </c>
      <c r="P42" s="70"/>
      <c r="Q42" s="71"/>
      <c r="R42" s="72"/>
      <c r="S42" s="65"/>
      <c r="T42" s="66"/>
      <c r="U42" s="58"/>
      <c r="V42" s="62"/>
      <c r="W42" s="50"/>
    </row>
    <row r="43" ht="15.75" customHeight="1">
      <c r="A43" s="35">
        <v>39.0</v>
      </c>
      <c r="B43" s="36" t="s">
        <v>82</v>
      </c>
      <c r="C43" s="37">
        <v>46059.0</v>
      </c>
      <c r="D43" s="19">
        <f t="shared" si="1"/>
        <v>46059</v>
      </c>
      <c r="E43" s="38">
        <v>500.0</v>
      </c>
      <c r="F43" s="21"/>
      <c r="G43" s="22"/>
      <c r="H43" s="39"/>
      <c r="L43" s="76" t="s">
        <v>103</v>
      </c>
      <c r="M43" s="41">
        <v>46087.0</v>
      </c>
      <c r="N43" s="42">
        <v>350.0</v>
      </c>
      <c r="O43" s="69"/>
      <c r="P43" s="70"/>
      <c r="Q43" s="71"/>
      <c r="R43" s="72"/>
      <c r="S43" s="65"/>
      <c r="T43" s="66"/>
      <c r="U43" s="58"/>
      <c r="V43" s="62"/>
      <c r="W43" s="50"/>
    </row>
    <row r="44" ht="15.75" customHeight="1">
      <c r="A44" s="35">
        <v>40.0</v>
      </c>
      <c r="B44" s="36" t="s">
        <v>26</v>
      </c>
      <c r="C44" s="37">
        <v>46064.0</v>
      </c>
      <c r="D44" s="19">
        <f t="shared" si="1"/>
        <v>46064</v>
      </c>
      <c r="E44" s="38">
        <v>250.0</v>
      </c>
      <c r="F44" s="21"/>
      <c r="G44" s="22"/>
      <c r="H44" s="39"/>
      <c r="L44" s="76" t="s">
        <v>104</v>
      </c>
      <c r="M44" s="41">
        <v>46088.0</v>
      </c>
      <c r="N44" s="42">
        <v>200.0</v>
      </c>
      <c r="O44" s="69"/>
      <c r="P44" s="70"/>
      <c r="Q44" s="71"/>
      <c r="R44" s="72"/>
      <c r="S44" s="65"/>
      <c r="T44" s="66"/>
      <c r="U44" s="58"/>
      <c r="V44" s="62"/>
      <c r="W44" s="50"/>
    </row>
    <row r="45" ht="15.75" customHeight="1">
      <c r="A45" s="35">
        <v>41.0</v>
      </c>
      <c r="B45" s="36" t="s">
        <v>61</v>
      </c>
      <c r="C45" s="37">
        <v>46066.0</v>
      </c>
      <c r="D45" s="19">
        <f t="shared" si="1"/>
        <v>46066</v>
      </c>
      <c r="E45" s="38">
        <v>370.0</v>
      </c>
      <c r="F45" s="21"/>
      <c r="G45" s="22"/>
      <c r="H45" s="39"/>
      <c r="L45" s="76" t="s">
        <v>105</v>
      </c>
      <c r="M45" s="41">
        <v>46089.0</v>
      </c>
      <c r="N45" s="42">
        <v>500.0</v>
      </c>
      <c r="O45" s="69"/>
      <c r="P45" s="70"/>
      <c r="Q45" s="71"/>
      <c r="R45" s="72"/>
      <c r="S45" s="65"/>
      <c r="T45" s="66"/>
      <c r="U45" s="58"/>
      <c r="V45" s="62"/>
      <c r="W45" s="50"/>
    </row>
    <row r="46" ht="15.75" customHeight="1">
      <c r="A46" s="35">
        <v>42.0</v>
      </c>
      <c r="B46" s="36" t="s">
        <v>82</v>
      </c>
      <c r="C46" s="37">
        <v>46066.0</v>
      </c>
      <c r="D46" s="19">
        <f t="shared" si="1"/>
        <v>46066</v>
      </c>
      <c r="E46" s="38">
        <v>500.0</v>
      </c>
      <c r="F46" s="21"/>
      <c r="G46" s="22"/>
      <c r="H46" s="39"/>
      <c r="L46" s="76" t="s">
        <v>106</v>
      </c>
      <c r="M46" s="41">
        <v>46089.0</v>
      </c>
      <c r="N46" s="42">
        <v>360.0</v>
      </c>
      <c r="O46" s="69"/>
      <c r="P46" s="70"/>
      <c r="Q46" s="71"/>
      <c r="R46" s="72"/>
      <c r="S46" s="65"/>
      <c r="T46" s="66"/>
      <c r="U46" s="58"/>
      <c r="V46" s="62"/>
      <c r="W46" s="50"/>
    </row>
    <row r="47" ht="15.75" customHeight="1">
      <c r="A47" s="35">
        <v>43.0</v>
      </c>
      <c r="B47" s="36" t="s">
        <v>61</v>
      </c>
      <c r="C47" s="37">
        <v>46066.0</v>
      </c>
      <c r="D47" s="19">
        <f t="shared" si="1"/>
        <v>46066</v>
      </c>
      <c r="E47" s="38">
        <v>370.0</v>
      </c>
      <c r="F47" s="21"/>
      <c r="G47" s="22"/>
      <c r="H47" s="39"/>
      <c r="L47" s="76" t="s">
        <v>107</v>
      </c>
      <c r="M47" s="41">
        <v>46090.0</v>
      </c>
      <c r="N47" s="42">
        <v>350.0</v>
      </c>
      <c r="O47" s="69"/>
      <c r="P47" s="70"/>
      <c r="Q47" s="71"/>
      <c r="R47" s="72"/>
      <c r="S47" s="65"/>
      <c r="T47" s="66"/>
      <c r="U47" s="58"/>
      <c r="V47" s="62"/>
      <c r="W47" s="50"/>
    </row>
    <row r="48" ht="15.75" customHeight="1">
      <c r="A48" s="35">
        <v>44.0</v>
      </c>
      <c r="B48" s="36" t="s">
        <v>26</v>
      </c>
      <c r="C48" s="37">
        <v>46071.0</v>
      </c>
      <c r="D48" s="19">
        <f t="shared" si="1"/>
        <v>46071</v>
      </c>
      <c r="E48" s="38">
        <v>250.0</v>
      </c>
      <c r="F48" s="21"/>
      <c r="G48" s="22"/>
      <c r="H48" s="39"/>
      <c r="L48" s="76" t="s">
        <v>108</v>
      </c>
      <c r="M48" s="41">
        <v>46093.0</v>
      </c>
      <c r="N48" s="42">
        <v>1300.0</v>
      </c>
      <c r="O48" s="69"/>
      <c r="P48" s="70"/>
      <c r="Q48" s="71"/>
      <c r="R48" s="72"/>
      <c r="S48" s="65"/>
      <c r="T48" s="66"/>
      <c r="U48" s="58"/>
      <c r="V48" s="62"/>
      <c r="W48" s="50"/>
    </row>
    <row r="49" ht="15.75" customHeight="1">
      <c r="A49" s="35">
        <v>45.0</v>
      </c>
      <c r="B49" s="36" t="s">
        <v>61</v>
      </c>
      <c r="C49" s="37">
        <v>46072.0</v>
      </c>
      <c r="D49" s="19">
        <f t="shared" si="1"/>
        <v>46072</v>
      </c>
      <c r="E49" s="38">
        <v>350.0</v>
      </c>
      <c r="F49" s="21"/>
      <c r="G49" s="22"/>
      <c r="H49" s="39"/>
      <c r="L49" s="76" t="s">
        <v>109</v>
      </c>
      <c r="M49" s="41">
        <v>46093.0</v>
      </c>
      <c r="N49" s="42">
        <v>1000.0</v>
      </c>
      <c r="O49" s="69"/>
      <c r="P49" s="70"/>
      <c r="Q49" s="71"/>
      <c r="R49" s="72"/>
      <c r="S49" s="65"/>
      <c r="T49" s="66"/>
      <c r="U49" s="58"/>
      <c r="V49" s="62"/>
      <c r="W49" s="50"/>
    </row>
    <row r="50" ht="15.75" customHeight="1">
      <c r="A50" s="35">
        <v>46.0</v>
      </c>
      <c r="B50" s="36" t="s">
        <v>61</v>
      </c>
      <c r="C50" s="37">
        <v>46073.0</v>
      </c>
      <c r="D50" s="19">
        <f t="shared" si="1"/>
        <v>46073</v>
      </c>
      <c r="E50" s="38">
        <v>350.0</v>
      </c>
      <c r="F50" s="21"/>
      <c r="G50" s="22"/>
      <c r="H50" s="39"/>
      <c r="L50" s="76" t="s">
        <v>110</v>
      </c>
      <c r="M50" s="41">
        <v>46094.0</v>
      </c>
      <c r="N50" s="42">
        <v>500.0</v>
      </c>
      <c r="O50" s="69"/>
      <c r="P50" s="70"/>
      <c r="Q50" s="71"/>
      <c r="R50" s="72"/>
      <c r="S50" s="65"/>
      <c r="T50" s="66"/>
      <c r="U50" s="58"/>
      <c r="V50" s="62"/>
      <c r="W50" s="50"/>
    </row>
    <row r="51" ht="15.75" customHeight="1">
      <c r="A51" s="35">
        <v>47.0</v>
      </c>
      <c r="B51" s="36" t="s">
        <v>111</v>
      </c>
      <c r="C51" s="37">
        <v>46076.0</v>
      </c>
      <c r="D51" s="19">
        <f t="shared" si="1"/>
        <v>46076</v>
      </c>
      <c r="E51" s="38">
        <v>250.0</v>
      </c>
      <c r="F51" s="21"/>
      <c r="G51" s="22"/>
      <c r="H51" s="39"/>
      <c r="L51" s="76" t="s">
        <v>112</v>
      </c>
      <c r="M51" s="41">
        <v>46096.0</v>
      </c>
      <c r="N51" s="42">
        <v>200.0</v>
      </c>
      <c r="O51" s="69"/>
      <c r="P51" s="70"/>
      <c r="Q51" s="71"/>
      <c r="R51" s="72"/>
      <c r="S51" s="65"/>
      <c r="T51" s="66"/>
      <c r="U51" s="58"/>
      <c r="V51" s="62"/>
      <c r="W51" s="50"/>
    </row>
    <row r="52" ht="15.75" customHeight="1">
      <c r="A52" s="35">
        <v>48.0</v>
      </c>
      <c r="B52" s="36" t="s">
        <v>61</v>
      </c>
      <c r="C52" s="37">
        <v>46076.0</v>
      </c>
      <c r="D52" s="19">
        <f t="shared" si="1"/>
        <v>46076</v>
      </c>
      <c r="E52" s="38">
        <v>490.0</v>
      </c>
      <c r="F52" s="21"/>
      <c r="G52" s="22"/>
      <c r="H52" s="39"/>
      <c r="L52" s="77" t="s">
        <v>113</v>
      </c>
      <c r="M52" s="41">
        <v>46097.0</v>
      </c>
      <c r="N52" s="42">
        <v>26.0</v>
      </c>
      <c r="O52" s="78"/>
      <c r="P52" s="79"/>
      <c r="Q52" s="80"/>
      <c r="R52" s="72"/>
      <c r="S52" s="65"/>
      <c r="T52" s="66"/>
      <c r="U52" s="58"/>
      <c r="V52" s="62"/>
      <c r="W52" s="50"/>
    </row>
    <row r="53" ht="15.75" customHeight="1">
      <c r="A53" s="35">
        <v>49.0</v>
      </c>
      <c r="B53" s="36" t="s">
        <v>93</v>
      </c>
      <c r="C53" s="37">
        <v>46077.0</v>
      </c>
      <c r="D53" s="19">
        <f t="shared" si="1"/>
        <v>46077</v>
      </c>
      <c r="E53" s="38">
        <v>370.0</v>
      </c>
      <c r="F53" s="21"/>
      <c r="G53" s="22"/>
      <c r="H53" s="39"/>
      <c r="L53" s="77" t="s">
        <v>114</v>
      </c>
      <c r="M53" s="41">
        <v>46092.0</v>
      </c>
      <c r="N53" s="42">
        <v>100.0</v>
      </c>
      <c r="O53" s="78"/>
      <c r="P53" s="70"/>
      <c r="Q53" s="71"/>
      <c r="R53" s="72"/>
      <c r="S53" s="65"/>
      <c r="T53" s="66"/>
      <c r="U53" s="58"/>
      <c r="V53" s="62"/>
      <c r="W53" s="50"/>
    </row>
    <row r="54" ht="15.75" customHeight="1">
      <c r="A54" s="35">
        <v>50.0</v>
      </c>
      <c r="B54" s="36" t="s">
        <v>26</v>
      </c>
      <c r="C54" s="37">
        <v>46078.0</v>
      </c>
      <c r="D54" s="19">
        <f t="shared" si="1"/>
        <v>46078</v>
      </c>
      <c r="E54" s="38">
        <v>380.0</v>
      </c>
      <c r="F54" s="21"/>
      <c r="G54" s="22"/>
      <c r="H54" s="39"/>
      <c r="L54" s="76" t="s">
        <v>115</v>
      </c>
      <c r="M54" s="41">
        <v>46099.0</v>
      </c>
      <c r="N54" s="42">
        <v>270.0</v>
      </c>
      <c r="O54" s="78"/>
      <c r="P54" s="70"/>
      <c r="Q54" s="71"/>
      <c r="R54" s="72"/>
      <c r="S54" s="65"/>
      <c r="T54" s="66"/>
      <c r="U54" s="58"/>
      <c r="V54" s="62"/>
      <c r="W54" s="50"/>
    </row>
    <row r="55" ht="15.75" customHeight="1">
      <c r="A55" s="35">
        <v>51.0</v>
      </c>
      <c r="B55" s="36" t="s">
        <v>61</v>
      </c>
      <c r="C55" s="37">
        <v>46078.0</v>
      </c>
      <c r="D55" s="19">
        <f t="shared" si="1"/>
        <v>46078</v>
      </c>
      <c r="E55" s="38">
        <v>380.0</v>
      </c>
      <c r="F55" s="21"/>
      <c r="G55" s="22"/>
      <c r="H55" s="39"/>
      <c r="L55" s="76" t="s">
        <v>116</v>
      </c>
      <c r="M55" s="41">
        <v>46100.0</v>
      </c>
      <c r="N55" s="42">
        <v>970.0</v>
      </c>
      <c r="O55" s="78"/>
      <c r="P55" s="70"/>
      <c r="Q55" s="71"/>
      <c r="R55" s="72"/>
      <c r="S55" s="65"/>
      <c r="T55" s="66"/>
      <c r="U55" s="58"/>
      <c r="V55" s="62"/>
      <c r="W55" s="50"/>
    </row>
    <row r="56" ht="15.75" customHeight="1">
      <c r="A56" s="35">
        <v>52.0</v>
      </c>
      <c r="B56" s="36" t="s">
        <v>61</v>
      </c>
      <c r="C56" s="37">
        <v>46079.0</v>
      </c>
      <c r="D56" s="19">
        <f t="shared" si="1"/>
        <v>46079</v>
      </c>
      <c r="E56" s="38">
        <v>500.0</v>
      </c>
      <c r="F56" s="21"/>
      <c r="G56" s="22"/>
      <c r="H56" s="39"/>
      <c r="L56" s="81" t="s">
        <v>117</v>
      </c>
      <c r="M56" s="41">
        <v>46101.0</v>
      </c>
      <c r="N56" s="42">
        <v>130.0</v>
      </c>
      <c r="O56" s="82">
        <f>N139+2000-N57-N56</f>
        <v>1870</v>
      </c>
      <c r="P56" s="70"/>
      <c r="Q56" s="71"/>
      <c r="R56" s="72"/>
      <c r="S56" s="65"/>
      <c r="T56" s="66"/>
      <c r="U56" s="58"/>
      <c r="V56" s="62"/>
      <c r="W56" s="50"/>
    </row>
    <row r="57" ht="15.75" customHeight="1">
      <c r="A57" s="35">
        <v>53.0</v>
      </c>
      <c r="B57" s="36" t="s">
        <v>82</v>
      </c>
      <c r="C57" s="37">
        <v>46080.0</v>
      </c>
      <c r="D57" s="19">
        <f t="shared" si="1"/>
        <v>46080</v>
      </c>
      <c r="E57" s="38">
        <v>500.0</v>
      </c>
      <c r="F57" s="21"/>
      <c r="G57" s="22"/>
      <c r="H57" s="39"/>
      <c r="L57" s="81" t="s">
        <v>117</v>
      </c>
      <c r="M57" s="41">
        <v>46105.0</v>
      </c>
      <c r="N57" s="42"/>
      <c r="O57" s="83"/>
      <c r="P57" s="44"/>
      <c r="R57" s="53"/>
      <c r="S57" s="65"/>
      <c r="T57" s="66"/>
      <c r="U57" s="58"/>
      <c r="V57" s="62"/>
      <c r="W57" s="50"/>
    </row>
    <row r="58" ht="15.75" customHeight="1">
      <c r="A58" s="35">
        <v>54.0</v>
      </c>
      <c r="B58" s="36" t="s">
        <v>118</v>
      </c>
      <c r="C58" s="37">
        <v>46081.0</v>
      </c>
      <c r="D58" s="19">
        <f t="shared" si="1"/>
        <v>46081</v>
      </c>
      <c r="E58" s="38">
        <v>100.0</v>
      </c>
      <c r="F58" s="21"/>
      <c r="G58" s="22"/>
      <c r="H58" s="39"/>
      <c r="L58" s="81" t="s">
        <v>117</v>
      </c>
      <c r="M58" s="41">
        <v>46106.0</v>
      </c>
      <c r="N58" s="42">
        <v>200.0</v>
      </c>
      <c r="O58" s="84"/>
      <c r="P58" s="44"/>
      <c r="R58" s="53"/>
      <c r="S58" s="65"/>
      <c r="T58" s="66"/>
      <c r="U58" s="58"/>
      <c r="V58" s="62"/>
      <c r="W58" s="50"/>
    </row>
    <row r="59" ht="15.75" customHeight="1">
      <c r="A59" s="35">
        <v>55.0</v>
      </c>
      <c r="B59" s="36" t="s">
        <v>119</v>
      </c>
      <c r="C59" s="37">
        <v>46049.0</v>
      </c>
      <c r="D59" s="19">
        <f t="shared" si="1"/>
        <v>46049</v>
      </c>
      <c r="E59" s="38">
        <v>500.0</v>
      </c>
      <c r="F59" s="21"/>
      <c r="G59" s="22"/>
      <c r="H59" s="39"/>
      <c r="L59" s="81" t="s">
        <v>117</v>
      </c>
      <c r="M59" s="41">
        <v>46107.0</v>
      </c>
      <c r="N59" s="42">
        <v>500.0</v>
      </c>
      <c r="O59" s="85">
        <f>SUM(-O56,N58:N61,N63:N67)</f>
        <v>843</v>
      </c>
      <c r="P59" s="44"/>
      <c r="R59" s="53"/>
      <c r="S59" s="65"/>
      <c r="T59" s="66"/>
      <c r="U59" s="58"/>
      <c r="V59" s="62"/>
      <c r="W59" s="50"/>
    </row>
    <row r="60" ht="15.75" customHeight="1">
      <c r="A60" s="35">
        <v>56.0</v>
      </c>
      <c r="B60" s="36" t="s">
        <v>44</v>
      </c>
      <c r="C60" s="37">
        <v>46083.0</v>
      </c>
      <c r="D60" s="19">
        <f t="shared" si="1"/>
        <v>46083</v>
      </c>
      <c r="E60" s="38">
        <v>440.0</v>
      </c>
      <c r="F60" s="21"/>
      <c r="G60" s="22"/>
      <c r="H60" s="39"/>
      <c r="L60" s="81" t="s">
        <v>117</v>
      </c>
      <c r="M60" s="41">
        <v>46109.0</v>
      </c>
      <c r="N60" s="42">
        <v>400.0</v>
      </c>
      <c r="O60" s="85">
        <f>6000-O59</f>
        <v>5157</v>
      </c>
      <c r="P60" s="44"/>
      <c r="R60" s="53"/>
      <c r="S60" s="65"/>
      <c r="T60" s="66"/>
      <c r="U60" s="58"/>
      <c r="V60" s="62"/>
      <c r="W60" s="50"/>
    </row>
    <row r="61" ht="15.75" customHeight="1">
      <c r="A61" s="35">
        <v>57.0</v>
      </c>
      <c r="B61" s="36" t="s">
        <v>120</v>
      </c>
      <c r="C61" s="37">
        <v>46085.0</v>
      </c>
      <c r="D61" s="19">
        <f t="shared" si="1"/>
        <v>46085</v>
      </c>
      <c r="E61" s="38">
        <v>300.0</v>
      </c>
      <c r="F61" s="21"/>
      <c r="G61" s="22"/>
      <c r="H61" s="39"/>
      <c r="L61" s="86" t="s">
        <v>121</v>
      </c>
      <c r="M61" s="41">
        <v>46113.0</v>
      </c>
      <c r="N61" s="42">
        <v>350.0</v>
      </c>
      <c r="O61" s="43"/>
      <c r="P61" s="44"/>
      <c r="R61" s="53"/>
      <c r="S61" s="65"/>
      <c r="T61" s="66"/>
      <c r="U61" s="58"/>
      <c r="V61" s="62"/>
      <c r="W61" s="50"/>
    </row>
    <row r="62" ht="15.75" customHeight="1">
      <c r="A62" s="35">
        <v>58.0</v>
      </c>
      <c r="B62" s="36" t="s">
        <v>19</v>
      </c>
      <c r="C62" s="37">
        <v>46085.0</v>
      </c>
      <c r="D62" s="19">
        <f t="shared" si="1"/>
        <v>46085</v>
      </c>
      <c r="E62" s="38">
        <v>335.0</v>
      </c>
      <c r="F62" s="21"/>
      <c r="G62" s="22"/>
      <c r="H62" s="39"/>
      <c r="L62" s="77" t="s">
        <v>79</v>
      </c>
      <c r="M62" s="41">
        <v>46114.0</v>
      </c>
      <c r="N62" s="42">
        <v>44.0</v>
      </c>
      <c r="O62" s="43"/>
      <c r="P62" s="44"/>
      <c r="R62" s="53"/>
      <c r="S62" s="65"/>
      <c r="T62" s="66"/>
      <c r="U62" s="58"/>
      <c r="V62" s="62"/>
      <c r="W62" s="50"/>
    </row>
    <row r="63" ht="15.75" customHeight="1">
      <c r="A63" s="35">
        <v>59.0</v>
      </c>
      <c r="B63" s="36" t="s">
        <v>26</v>
      </c>
      <c r="C63" s="37">
        <v>46085.0</v>
      </c>
      <c r="D63" s="19">
        <f t="shared" si="1"/>
        <v>46085</v>
      </c>
      <c r="E63" s="38">
        <v>500.0</v>
      </c>
      <c r="F63" s="21"/>
      <c r="G63" s="22"/>
      <c r="H63" s="39"/>
      <c r="L63" s="86" t="s">
        <v>122</v>
      </c>
      <c r="M63" s="41">
        <v>46115.0</v>
      </c>
      <c r="N63" s="42">
        <v>100.0</v>
      </c>
      <c r="O63" s="43"/>
      <c r="P63" s="44"/>
      <c r="R63" s="53"/>
      <c r="S63" s="65"/>
      <c r="T63" s="66"/>
      <c r="U63" s="58"/>
      <c r="V63" s="62"/>
      <c r="W63" s="50"/>
    </row>
    <row r="64" ht="15.75" customHeight="1">
      <c r="A64" s="35">
        <v>60.0</v>
      </c>
      <c r="B64" s="36" t="s">
        <v>61</v>
      </c>
      <c r="C64" s="37">
        <v>46085.0</v>
      </c>
      <c r="D64" s="19">
        <f t="shared" si="1"/>
        <v>46085</v>
      </c>
      <c r="E64" s="38">
        <v>485.0</v>
      </c>
      <c r="F64" s="21"/>
      <c r="G64" s="22"/>
      <c r="H64" s="39"/>
      <c r="L64" s="86" t="s">
        <v>123</v>
      </c>
      <c r="M64" s="41">
        <v>46116.0</v>
      </c>
      <c r="N64" s="42">
        <v>300.0</v>
      </c>
      <c r="O64" s="43"/>
      <c r="P64" s="44"/>
      <c r="R64" s="53"/>
      <c r="S64" s="65"/>
      <c r="T64" s="66"/>
      <c r="U64" s="58"/>
      <c r="V64" s="62"/>
      <c r="W64" s="50"/>
    </row>
    <row r="65" ht="15.75" customHeight="1">
      <c r="A65" s="35">
        <v>61.0</v>
      </c>
      <c r="B65" s="36" t="s">
        <v>124</v>
      </c>
      <c r="C65" s="37"/>
      <c r="D65" s="19" t="str">
        <f t="shared" si="1"/>
        <v/>
      </c>
      <c r="E65" s="38">
        <v>100.0</v>
      </c>
      <c r="F65" s="21"/>
      <c r="G65" s="22"/>
      <c r="H65" s="39"/>
      <c r="L65" s="86" t="s">
        <v>125</v>
      </c>
      <c r="M65" s="41">
        <v>46116.0</v>
      </c>
      <c r="N65" s="42">
        <v>180.0</v>
      </c>
      <c r="O65" s="43"/>
      <c r="P65" s="44"/>
      <c r="R65" s="53"/>
      <c r="S65" s="65"/>
      <c r="T65" s="66"/>
      <c r="U65" s="58"/>
      <c r="V65" s="62"/>
      <c r="W65" s="50"/>
    </row>
    <row r="66" ht="15.75" customHeight="1">
      <c r="A66" s="35">
        <v>62.0</v>
      </c>
      <c r="B66" s="36" t="s">
        <v>61</v>
      </c>
      <c r="C66" s="37">
        <v>46087.0</v>
      </c>
      <c r="D66" s="19">
        <f t="shared" si="1"/>
        <v>46087</v>
      </c>
      <c r="E66" s="38">
        <v>360.0</v>
      </c>
      <c r="F66" s="21"/>
      <c r="G66" s="22"/>
      <c r="H66" s="39"/>
      <c r="L66" s="86" t="s">
        <v>126</v>
      </c>
      <c r="M66" s="41">
        <v>46117.0</v>
      </c>
      <c r="N66" s="42">
        <v>300.0</v>
      </c>
      <c r="O66" s="43"/>
      <c r="P66" s="44"/>
      <c r="R66" s="53"/>
      <c r="S66" s="65"/>
      <c r="T66" s="66"/>
      <c r="U66" s="58"/>
      <c r="V66" s="62"/>
      <c r="W66" s="50"/>
    </row>
    <row r="67" ht="15.75" customHeight="1">
      <c r="A67" s="35">
        <v>63.0</v>
      </c>
      <c r="B67" s="36" t="s">
        <v>120</v>
      </c>
      <c r="C67" s="37">
        <v>46090.0</v>
      </c>
      <c r="D67" s="19">
        <f t="shared" si="1"/>
        <v>46090</v>
      </c>
      <c r="E67" s="38">
        <v>150.0</v>
      </c>
      <c r="F67" s="21"/>
      <c r="G67" s="22"/>
      <c r="H67" s="39"/>
      <c r="L67" s="86" t="s">
        <v>127</v>
      </c>
      <c r="M67" s="41">
        <v>46120.0</v>
      </c>
      <c r="N67" s="42">
        <v>383.0</v>
      </c>
      <c r="O67" s="43"/>
      <c r="P67" s="44"/>
      <c r="R67" s="53"/>
      <c r="S67" s="65"/>
      <c r="T67" s="66"/>
      <c r="U67" s="58"/>
      <c r="V67" s="62"/>
      <c r="W67" s="50"/>
    </row>
    <row r="68" ht="15.75" customHeight="1">
      <c r="A68" s="35">
        <v>64.0</v>
      </c>
      <c r="B68" s="36" t="s">
        <v>128</v>
      </c>
      <c r="C68" s="37">
        <v>46090.0</v>
      </c>
      <c r="D68" s="19">
        <f t="shared" si="1"/>
        <v>46090</v>
      </c>
      <c r="E68" s="38">
        <v>350.0</v>
      </c>
      <c r="F68" s="21"/>
      <c r="G68" s="22"/>
      <c r="H68" s="39"/>
      <c r="L68" s="86" t="s">
        <v>129</v>
      </c>
      <c r="M68" s="41">
        <v>46121.0</v>
      </c>
      <c r="N68" s="42">
        <v>60.0</v>
      </c>
      <c r="O68" s="43"/>
      <c r="P68" s="44"/>
      <c r="R68" s="53"/>
      <c r="S68" s="65"/>
      <c r="T68" s="66"/>
      <c r="U68" s="58"/>
      <c r="V68" s="62"/>
      <c r="W68" s="50"/>
    </row>
    <row r="69" ht="15.75" customHeight="1">
      <c r="A69" s="35">
        <v>65.0</v>
      </c>
      <c r="B69" s="36" t="s">
        <v>19</v>
      </c>
      <c r="C69" s="37">
        <v>46091.0</v>
      </c>
      <c r="D69" s="19">
        <f t="shared" si="1"/>
        <v>46091</v>
      </c>
      <c r="E69" s="38">
        <v>500.0</v>
      </c>
      <c r="F69" s="21"/>
      <c r="G69" s="22"/>
      <c r="H69" s="39"/>
      <c r="L69" s="87"/>
      <c r="M69" s="41"/>
      <c r="N69" s="26"/>
      <c r="O69" s="43"/>
      <c r="P69" s="44"/>
      <c r="R69" s="53"/>
      <c r="S69" s="65"/>
      <c r="T69" s="66"/>
      <c r="U69" s="58"/>
      <c r="V69" s="62"/>
      <c r="W69" s="50"/>
    </row>
    <row r="70" ht="15.75" customHeight="1">
      <c r="A70" s="35">
        <v>66.0</v>
      </c>
      <c r="B70" s="36" t="s">
        <v>130</v>
      </c>
      <c r="C70" s="37">
        <v>46091.0</v>
      </c>
      <c r="D70" s="19">
        <f t="shared" si="1"/>
        <v>46091</v>
      </c>
      <c r="E70" s="38">
        <v>500.0</v>
      </c>
      <c r="F70" s="21"/>
      <c r="G70" s="22"/>
      <c r="H70" s="39"/>
      <c r="L70" s="87"/>
      <c r="M70" s="41"/>
      <c r="N70" s="26"/>
      <c r="O70" s="43"/>
      <c r="P70" s="44"/>
      <c r="R70" s="53"/>
      <c r="S70" s="65"/>
      <c r="T70" s="66"/>
      <c r="U70" s="58"/>
      <c r="V70" s="62"/>
      <c r="W70" s="50"/>
    </row>
    <row r="71" ht="15.75" customHeight="1">
      <c r="A71" s="35">
        <v>67.0</v>
      </c>
      <c r="B71" s="36" t="s">
        <v>32</v>
      </c>
      <c r="C71" s="37">
        <v>46091.0</v>
      </c>
      <c r="D71" s="19">
        <f t="shared" si="1"/>
        <v>46091</v>
      </c>
      <c r="E71" s="38">
        <v>710.0</v>
      </c>
      <c r="F71" s="21"/>
      <c r="G71" s="22"/>
      <c r="H71" s="39"/>
      <c r="L71" s="87"/>
      <c r="M71" s="41"/>
      <c r="N71" s="26"/>
      <c r="O71" s="43"/>
      <c r="P71" s="44"/>
      <c r="R71" s="53"/>
      <c r="S71" s="65"/>
      <c r="T71" s="66"/>
      <c r="U71" s="58"/>
      <c r="V71" s="62"/>
      <c r="W71" s="50"/>
    </row>
    <row r="72" ht="15.75" customHeight="1">
      <c r="A72" s="35">
        <v>68.0</v>
      </c>
      <c r="B72" s="36" t="s">
        <v>124</v>
      </c>
      <c r="C72" s="37"/>
      <c r="D72" s="19" t="str">
        <f t="shared" si="1"/>
        <v/>
      </c>
      <c r="E72" s="38">
        <v>100.0</v>
      </c>
      <c r="F72" s="21"/>
      <c r="G72" s="22"/>
      <c r="H72" s="39"/>
      <c r="L72" s="87"/>
      <c r="M72" s="41"/>
      <c r="N72" s="26">
        <f>SUM(N43:N51,N54:N61,N63:N68)</f>
        <v>8903</v>
      </c>
      <c r="O72" s="43"/>
      <c r="P72" s="44"/>
      <c r="R72" s="53"/>
      <c r="S72" s="65"/>
      <c r="T72" s="66"/>
      <c r="U72" s="58"/>
      <c r="V72" s="62"/>
      <c r="W72" s="50"/>
    </row>
    <row r="73" ht="15.75" customHeight="1">
      <c r="A73" s="35">
        <v>69.0</v>
      </c>
      <c r="B73" s="36" t="s">
        <v>82</v>
      </c>
      <c r="C73" s="37">
        <v>46094.0</v>
      </c>
      <c r="D73" s="19">
        <f t="shared" si="1"/>
        <v>46094</v>
      </c>
      <c r="E73" s="38">
        <v>370.0</v>
      </c>
      <c r="F73" s="21"/>
      <c r="G73" s="22"/>
      <c r="H73" s="39"/>
      <c r="L73" s="87"/>
      <c r="M73" s="41"/>
      <c r="N73" s="26"/>
      <c r="O73" s="43"/>
      <c r="P73" s="44"/>
      <c r="R73" s="53"/>
      <c r="S73" s="65"/>
      <c r="T73" s="66"/>
      <c r="U73" s="58"/>
      <c r="V73" s="62"/>
      <c r="W73" s="50"/>
    </row>
    <row r="74" ht="15.75" customHeight="1">
      <c r="A74" s="35">
        <v>70.0</v>
      </c>
      <c r="B74" s="36" t="s">
        <v>120</v>
      </c>
      <c r="C74" s="37">
        <v>46097.0</v>
      </c>
      <c r="D74" s="19">
        <f t="shared" si="1"/>
        <v>46097</v>
      </c>
      <c r="E74" s="38">
        <v>150.0</v>
      </c>
      <c r="F74" s="21"/>
      <c r="G74" s="22"/>
      <c r="H74" s="39"/>
      <c r="L74" s="87"/>
      <c r="M74" s="41"/>
      <c r="N74" s="26"/>
      <c r="O74" s="43"/>
      <c r="P74" s="44"/>
      <c r="R74" s="53"/>
      <c r="S74" s="65"/>
      <c r="T74" s="66"/>
      <c r="U74" s="58"/>
      <c r="V74" s="62"/>
      <c r="W74" s="50"/>
    </row>
    <row r="75" ht="15.75" customHeight="1">
      <c r="A75" s="35">
        <v>71.0</v>
      </c>
      <c r="B75" s="36" t="s">
        <v>131</v>
      </c>
      <c r="C75" s="37">
        <v>46099.0</v>
      </c>
      <c r="D75" s="19">
        <f t="shared" si="1"/>
        <v>46099</v>
      </c>
      <c r="E75" s="38">
        <v>150.0</v>
      </c>
      <c r="F75" s="21"/>
      <c r="G75" s="22"/>
      <c r="H75" s="39"/>
      <c r="L75" s="87"/>
      <c r="M75" s="41"/>
      <c r="N75" s="26"/>
      <c r="O75" s="43"/>
      <c r="P75" s="44"/>
      <c r="R75" s="53"/>
      <c r="S75" s="65"/>
      <c r="T75" s="66"/>
      <c r="U75" s="58"/>
      <c r="V75" s="62"/>
      <c r="W75" s="50"/>
    </row>
    <row r="76" ht="15.75" customHeight="1">
      <c r="A76" s="35">
        <v>72.0</v>
      </c>
      <c r="B76" s="36" t="s">
        <v>130</v>
      </c>
      <c r="C76" s="37">
        <v>46098.0</v>
      </c>
      <c r="D76" s="19">
        <f t="shared" si="1"/>
        <v>46098</v>
      </c>
      <c r="E76" s="38">
        <v>500.0</v>
      </c>
      <c r="F76" s="21"/>
      <c r="G76" s="22"/>
      <c r="H76" s="39"/>
      <c r="L76" s="87"/>
      <c r="M76" s="41"/>
      <c r="N76" s="26"/>
      <c r="O76" s="43"/>
      <c r="P76" s="44"/>
      <c r="R76" s="53"/>
      <c r="S76" s="65"/>
      <c r="T76" s="66"/>
      <c r="U76" s="58"/>
      <c r="V76" s="62"/>
      <c r="W76" s="50"/>
    </row>
    <row r="77" ht="15.75" customHeight="1">
      <c r="A77" s="35">
        <v>73.0</v>
      </c>
      <c r="B77" s="36" t="s">
        <v>132</v>
      </c>
      <c r="C77" s="37">
        <v>46099.0</v>
      </c>
      <c r="D77" s="19">
        <f t="shared" si="1"/>
        <v>46099</v>
      </c>
      <c r="E77" s="38">
        <v>250.0</v>
      </c>
      <c r="F77" s="21"/>
      <c r="G77" s="22"/>
      <c r="H77" s="39"/>
      <c r="L77" s="87"/>
      <c r="M77" s="41"/>
      <c r="N77" s="26"/>
      <c r="O77" s="43"/>
      <c r="P77" s="44"/>
      <c r="R77" s="53"/>
      <c r="S77" s="65"/>
      <c r="T77" s="66"/>
      <c r="U77" s="58"/>
      <c r="V77" s="62"/>
      <c r="W77" s="50"/>
    </row>
    <row r="78" ht="15.75" customHeight="1">
      <c r="A78" s="35">
        <v>74.0</v>
      </c>
      <c r="B78" s="36" t="s">
        <v>61</v>
      </c>
      <c r="C78" s="37">
        <v>46094.0</v>
      </c>
      <c r="D78" s="19">
        <f t="shared" si="1"/>
        <v>46094</v>
      </c>
      <c r="E78" s="38">
        <v>425.0</v>
      </c>
      <c r="F78" s="21"/>
      <c r="G78" s="22"/>
      <c r="H78" s="39"/>
      <c r="L78" s="87"/>
      <c r="M78" s="41"/>
      <c r="N78" s="26"/>
      <c r="O78" s="43"/>
      <c r="P78" s="44"/>
      <c r="R78" s="53"/>
      <c r="S78" s="65"/>
      <c r="T78" s="66"/>
      <c r="U78" s="58"/>
      <c r="V78" s="62"/>
      <c r="W78" s="50"/>
    </row>
    <row r="79" ht="15.75" customHeight="1">
      <c r="A79" s="35">
        <v>75.0</v>
      </c>
      <c r="B79" s="36" t="s">
        <v>61</v>
      </c>
      <c r="C79" s="37">
        <v>46097.0</v>
      </c>
      <c r="D79" s="19">
        <f t="shared" si="1"/>
        <v>46097</v>
      </c>
      <c r="E79" s="38">
        <v>500.0</v>
      </c>
      <c r="F79" s="21"/>
      <c r="G79" s="22"/>
      <c r="H79" s="39"/>
      <c r="L79" s="87"/>
      <c r="M79" s="41"/>
      <c r="N79" s="26"/>
      <c r="O79" s="43"/>
      <c r="P79" s="44"/>
      <c r="R79" s="53"/>
      <c r="S79" s="65"/>
      <c r="T79" s="66"/>
      <c r="U79" s="58"/>
      <c r="V79" s="62"/>
      <c r="W79" s="50"/>
    </row>
    <row r="80" ht="15.75" customHeight="1">
      <c r="A80" s="35">
        <v>76.0</v>
      </c>
      <c r="B80" s="36" t="s">
        <v>61</v>
      </c>
      <c r="C80" s="37">
        <v>46100.0</v>
      </c>
      <c r="D80" s="19">
        <f t="shared" si="1"/>
        <v>46100</v>
      </c>
      <c r="E80" s="38">
        <v>375.0</v>
      </c>
      <c r="F80" s="21"/>
      <c r="G80" s="22"/>
      <c r="H80" s="39"/>
      <c r="L80" s="87"/>
      <c r="M80" s="41"/>
      <c r="N80" s="26"/>
      <c r="O80" s="43"/>
      <c r="P80" s="44"/>
      <c r="R80" s="53"/>
      <c r="S80" s="65"/>
      <c r="T80" s="66"/>
      <c r="U80" s="58"/>
      <c r="V80" s="62"/>
      <c r="W80" s="50"/>
    </row>
    <row r="81" ht="15.75" customHeight="1">
      <c r="A81" s="35">
        <v>77.0</v>
      </c>
      <c r="B81" s="36" t="s">
        <v>82</v>
      </c>
      <c r="C81" s="37">
        <v>46101.0</v>
      </c>
      <c r="D81" s="19">
        <f t="shared" si="1"/>
        <v>46101</v>
      </c>
      <c r="E81" s="38">
        <v>380.0</v>
      </c>
      <c r="F81" s="21"/>
      <c r="G81" s="22"/>
      <c r="H81" s="39"/>
      <c r="L81" s="87"/>
      <c r="M81" s="41"/>
      <c r="N81" s="26"/>
      <c r="O81" s="43"/>
      <c r="P81" s="44"/>
      <c r="R81" s="53"/>
      <c r="S81" s="65"/>
      <c r="T81" s="66"/>
      <c r="U81" s="58"/>
      <c r="V81" s="62"/>
      <c r="W81" s="50"/>
    </row>
    <row r="82" ht="15.75" customHeight="1">
      <c r="A82" s="35">
        <v>78.0</v>
      </c>
      <c r="B82" s="36" t="s">
        <v>120</v>
      </c>
      <c r="C82" s="37">
        <v>46104.0</v>
      </c>
      <c r="D82" s="19">
        <f t="shared" si="1"/>
        <v>46104</v>
      </c>
      <c r="E82" s="38">
        <v>150.0</v>
      </c>
      <c r="F82" s="21"/>
      <c r="G82" s="22"/>
      <c r="H82" s="39"/>
      <c r="L82" s="87"/>
      <c r="M82" s="41"/>
      <c r="N82" s="26"/>
      <c r="O82" s="43"/>
      <c r="P82" s="44"/>
      <c r="R82" s="53"/>
      <c r="S82" s="65"/>
      <c r="T82" s="66"/>
      <c r="U82" s="58"/>
      <c r="V82" s="62"/>
      <c r="W82" s="50"/>
    </row>
    <row r="83" ht="15.75" customHeight="1">
      <c r="A83" s="35">
        <v>79.0</v>
      </c>
      <c r="B83" s="36" t="s">
        <v>128</v>
      </c>
      <c r="C83" s="37">
        <v>46104.0</v>
      </c>
      <c r="D83" s="19">
        <f t="shared" si="1"/>
        <v>46104</v>
      </c>
      <c r="E83" s="38">
        <v>200.0</v>
      </c>
      <c r="F83" s="21"/>
      <c r="G83" s="22"/>
      <c r="H83" s="39"/>
      <c r="L83" s="87"/>
      <c r="M83" s="41"/>
      <c r="N83" s="26"/>
      <c r="O83" s="43"/>
      <c r="P83" s="44"/>
      <c r="R83" s="53"/>
      <c r="S83" s="65"/>
      <c r="T83" s="66"/>
      <c r="U83" s="58"/>
      <c r="V83" s="62"/>
      <c r="W83" s="50"/>
    </row>
    <row r="84" ht="15.75" customHeight="1">
      <c r="A84" s="35">
        <v>80.0</v>
      </c>
      <c r="B84" s="36" t="s">
        <v>133</v>
      </c>
      <c r="C84" s="37">
        <v>46105.0</v>
      </c>
      <c r="D84" s="19">
        <f t="shared" si="1"/>
        <v>46105</v>
      </c>
      <c r="E84" s="38">
        <v>400.0</v>
      </c>
      <c r="F84" s="21"/>
      <c r="G84" s="22"/>
      <c r="H84" s="39"/>
      <c r="L84" s="87"/>
      <c r="M84" s="41"/>
      <c r="N84" s="26"/>
      <c r="O84" s="43"/>
      <c r="P84" s="44"/>
      <c r="R84" s="53"/>
      <c r="S84" s="65"/>
      <c r="T84" s="66"/>
      <c r="U84" s="58"/>
      <c r="V84" s="62"/>
      <c r="W84" s="50"/>
    </row>
    <row r="85" ht="15.75" customHeight="1">
      <c r="A85" s="35">
        <v>81.0</v>
      </c>
      <c r="B85" s="36" t="s">
        <v>130</v>
      </c>
      <c r="C85" s="37">
        <v>46105.0</v>
      </c>
      <c r="D85" s="19">
        <f t="shared" si="1"/>
        <v>46105</v>
      </c>
      <c r="E85" s="38">
        <v>500.0</v>
      </c>
      <c r="F85" s="21"/>
      <c r="G85" s="22"/>
      <c r="H85" s="39"/>
      <c r="L85" s="87"/>
      <c r="M85" s="41"/>
      <c r="N85" s="26"/>
      <c r="O85" s="43"/>
      <c r="P85" s="44"/>
      <c r="R85" s="53"/>
      <c r="S85" s="65"/>
      <c r="T85" s="66"/>
      <c r="U85" s="58"/>
      <c r="V85" s="62"/>
      <c r="W85" s="50"/>
    </row>
    <row r="86" ht="15.75" customHeight="1">
      <c r="A86" s="35">
        <v>82.0</v>
      </c>
      <c r="B86" s="36" t="s">
        <v>134</v>
      </c>
      <c r="C86" s="37">
        <v>46107.0</v>
      </c>
      <c r="D86" s="19">
        <f t="shared" si="1"/>
        <v>46107</v>
      </c>
      <c r="E86" s="38">
        <v>500.0</v>
      </c>
      <c r="F86" s="21"/>
      <c r="G86" s="22"/>
      <c r="H86" s="39"/>
      <c r="L86" s="87"/>
      <c r="M86" s="41"/>
      <c r="N86" s="26"/>
      <c r="O86" s="43"/>
      <c r="P86" s="44"/>
      <c r="R86" s="53"/>
      <c r="S86" s="65"/>
      <c r="T86" s="66"/>
      <c r="U86" s="58"/>
      <c r="V86" s="62"/>
      <c r="W86" s="50"/>
    </row>
    <row r="87" ht="15.75" customHeight="1">
      <c r="A87" s="35">
        <v>83.0</v>
      </c>
      <c r="B87" s="36" t="s">
        <v>61</v>
      </c>
      <c r="C87" s="37">
        <v>46107.0</v>
      </c>
      <c r="D87" s="19">
        <f t="shared" si="1"/>
        <v>46107</v>
      </c>
      <c r="E87" s="38">
        <v>470.0</v>
      </c>
      <c r="F87" s="21"/>
      <c r="G87" s="22"/>
      <c r="H87" s="39"/>
      <c r="L87" s="87"/>
      <c r="M87" s="41"/>
      <c r="N87" s="26"/>
      <c r="O87" s="43"/>
      <c r="P87" s="44"/>
      <c r="R87" s="53"/>
      <c r="S87" s="65"/>
      <c r="T87" s="66"/>
      <c r="U87" s="58"/>
      <c r="V87" s="62"/>
      <c r="W87" s="50"/>
    </row>
    <row r="88" ht="15.75" customHeight="1">
      <c r="A88" s="35">
        <v>84.0</v>
      </c>
      <c r="B88" s="36" t="s">
        <v>82</v>
      </c>
      <c r="C88" s="37">
        <v>46108.0</v>
      </c>
      <c r="D88" s="19">
        <f t="shared" si="1"/>
        <v>46108</v>
      </c>
      <c r="E88" s="38">
        <v>400.0</v>
      </c>
      <c r="F88" s="21"/>
      <c r="G88" s="22"/>
      <c r="H88" s="39"/>
      <c r="L88" s="87"/>
      <c r="M88" s="41"/>
      <c r="N88" s="26"/>
      <c r="O88" s="43"/>
      <c r="P88" s="44"/>
      <c r="R88" s="53"/>
      <c r="S88" s="65"/>
      <c r="T88" s="66"/>
      <c r="U88" s="58"/>
      <c r="V88" s="62"/>
      <c r="W88" s="50"/>
    </row>
    <row r="89" ht="15.75" customHeight="1">
      <c r="A89" s="35">
        <v>85.0</v>
      </c>
      <c r="B89" s="36" t="s">
        <v>135</v>
      </c>
      <c r="C89" s="37">
        <v>46111.0</v>
      </c>
      <c r="D89" s="19">
        <f t="shared" si="1"/>
        <v>46111</v>
      </c>
      <c r="E89" s="38">
        <v>200.0</v>
      </c>
      <c r="F89" s="21"/>
      <c r="G89" s="22"/>
      <c r="H89" s="39"/>
      <c r="L89" s="87"/>
      <c r="M89" s="41"/>
      <c r="N89" s="26"/>
      <c r="O89" s="43"/>
      <c r="P89" s="44"/>
      <c r="R89" s="53"/>
      <c r="S89" s="65"/>
      <c r="T89" s="66"/>
      <c r="U89" s="58"/>
      <c r="V89" s="62"/>
      <c r="W89" s="50"/>
    </row>
    <row r="90" ht="15.75" customHeight="1">
      <c r="A90" s="35">
        <v>86.0</v>
      </c>
      <c r="B90" s="36" t="s">
        <v>128</v>
      </c>
      <c r="C90" s="37">
        <v>46111.0</v>
      </c>
      <c r="D90" s="19">
        <f t="shared" si="1"/>
        <v>46111</v>
      </c>
      <c r="E90" s="38">
        <v>60.0</v>
      </c>
      <c r="F90" s="21"/>
      <c r="G90" s="22"/>
      <c r="H90" s="39"/>
      <c r="L90" s="87"/>
      <c r="M90" s="41"/>
      <c r="N90" s="26"/>
      <c r="O90" s="43"/>
      <c r="P90" s="44"/>
      <c r="R90" s="53"/>
      <c r="S90" s="65"/>
      <c r="T90" s="66"/>
      <c r="U90" s="58"/>
      <c r="V90" s="62"/>
      <c r="W90" s="50"/>
    </row>
    <row r="91" ht="15.75" customHeight="1">
      <c r="A91" s="35">
        <v>87.0</v>
      </c>
      <c r="B91" s="36" t="s">
        <v>61</v>
      </c>
      <c r="C91" s="37">
        <v>46112.0</v>
      </c>
      <c r="D91" s="19">
        <f t="shared" si="1"/>
        <v>46112</v>
      </c>
      <c r="E91" s="38">
        <v>380.0</v>
      </c>
      <c r="F91" s="21"/>
      <c r="G91" s="22"/>
      <c r="H91" s="39"/>
      <c r="L91" s="87"/>
      <c r="M91" s="41"/>
      <c r="N91" s="26"/>
      <c r="O91" s="43"/>
      <c r="P91" s="44"/>
      <c r="R91" s="53"/>
      <c r="S91" s="65"/>
      <c r="T91" s="66"/>
      <c r="U91" s="58"/>
      <c r="V91" s="62"/>
      <c r="W91" s="50"/>
    </row>
    <row r="92" ht="15.75" customHeight="1">
      <c r="A92" s="35">
        <v>88.0</v>
      </c>
      <c r="B92" s="36" t="s">
        <v>136</v>
      </c>
      <c r="C92" s="37">
        <v>46113.0</v>
      </c>
      <c r="D92" s="19">
        <f t="shared" si="1"/>
        <v>46113</v>
      </c>
      <c r="E92" s="38">
        <v>500.0</v>
      </c>
      <c r="F92" s="21"/>
      <c r="G92" s="22"/>
      <c r="H92" s="39"/>
      <c r="L92" s="87"/>
      <c r="M92" s="41"/>
      <c r="N92" s="26"/>
      <c r="O92" s="43"/>
      <c r="P92" s="44"/>
      <c r="R92" s="53"/>
      <c r="S92" s="65"/>
      <c r="T92" s="66"/>
      <c r="U92" s="58"/>
      <c r="V92" s="62"/>
      <c r="W92" s="50"/>
    </row>
    <row r="93" ht="15.75" customHeight="1">
      <c r="A93" s="35">
        <v>89.0</v>
      </c>
      <c r="B93" s="36" t="s">
        <v>61</v>
      </c>
      <c r="C93" s="37">
        <v>46113.0</v>
      </c>
      <c r="D93" s="19">
        <f t="shared" si="1"/>
        <v>46113</v>
      </c>
      <c r="E93" s="38">
        <v>360.0</v>
      </c>
      <c r="F93" s="21"/>
      <c r="G93" s="22"/>
      <c r="H93" s="39"/>
      <c r="L93" s="87"/>
      <c r="M93" s="41"/>
      <c r="N93" s="26"/>
      <c r="O93" s="43"/>
      <c r="P93" s="44"/>
      <c r="R93" s="53"/>
      <c r="S93" s="65"/>
      <c r="T93" s="66"/>
      <c r="U93" s="58"/>
      <c r="V93" s="62"/>
      <c r="W93" s="50"/>
    </row>
    <row r="94" ht="15.75" customHeight="1">
      <c r="A94" s="35">
        <v>90.0</v>
      </c>
      <c r="B94" s="36" t="s">
        <v>120</v>
      </c>
      <c r="C94" s="37">
        <v>46114.0</v>
      </c>
      <c r="D94" s="19">
        <f t="shared" si="1"/>
        <v>46114</v>
      </c>
      <c r="E94" s="38">
        <v>150.0</v>
      </c>
      <c r="F94" s="21"/>
      <c r="G94" s="22"/>
      <c r="H94" s="39"/>
      <c r="L94" s="87"/>
      <c r="M94" s="41"/>
      <c r="N94" s="26"/>
      <c r="O94" s="43"/>
      <c r="P94" s="44"/>
      <c r="R94" s="53"/>
      <c r="S94" s="65"/>
      <c r="T94" s="66"/>
      <c r="U94" s="58"/>
      <c r="V94" s="62"/>
      <c r="W94" s="50"/>
    </row>
    <row r="95" ht="15.75" customHeight="1">
      <c r="A95" s="35">
        <v>91.0</v>
      </c>
      <c r="B95" s="36" t="s">
        <v>61</v>
      </c>
      <c r="C95" s="37">
        <v>46114.0</v>
      </c>
      <c r="D95" s="19">
        <f t="shared" si="1"/>
        <v>46114</v>
      </c>
      <c r="E95" s="38">
        <v>435.0</v>
      </c>
      <c r="F95" s="21"/>
      <c r="G95" s="22"/>
      <c r="H95" s="39"/>
      <c r="L95" s="87"/>
      <c r="M95" s="41"/>
      <c r="N95" s="26"/>
      <c r="O95" s="43"/>
      <c r="P95" s="44"/>
      <c r="R95" s="53"/>
      <c r="S95" s="65"/>
      <c r="T95" s="66"/>
      <c r="U95" s="58"/>
      <c r="V95" s="62"/>
      <c r="W95" s="50"/>
    </row>
    <row r="96" ht="15.75" customHeight="1">
      <c r="A96" s="35">
        <v>92.0</v>
      </c>
      <c r="B96" s="36" t="s">
        <v>137</v>
      </c>
      <c r="C96" s="37">
        <v>46115.0</v>
      </c>
      <c r="D96" s="19">
        <f t="shared" si="1"/>
        <v>46115</v>
      </c>
      <c r="E96" s="38">
        <v>380.0</v>
      </c>
      <c r="F96" s="21"/>
      <c r="G96" s="22"/>
      <c r="H96" s="39"/>
      <c r="L96" s="87"/>
      <c r="M96" s="41"/>
      <c r="N96" s="26"/>
      <c r="O96" s="43"/>
      <c r="P96" s="44"/>
      <c r="R96" s="53"/>
      <c r="S96" s="65"/>
      <c r="T96" s="66"/>
      <c r="U96" s="58"/>
      <c r="V96" s="62"/>
      <c r="W96" s="50"/>
    </row>
    <row r="97" ht="15.75" customHeight="1">
      <c r="A97" s="35">
        <v>93.0</v>
      </c>
      <c r="B97" s="36" t="s">
        <v>138</v>
      </c>
      <c r="C97" s="37">
        <v>46118.0</v>
      </c>
      <c r="D97" s="19">
        <f t="shared" si="1"/>
        <v>46118</v>
      </c>
      <c r="E97" s="38">
        <v>200.0</v>
      </c>
      <c r="F97" s="21"/>
      <c r="G97" s="22"/>
      <c r="H97" s="39"/>
      <c r="L97" s="87"/>
      <c r="M97" s="41"/>
      <c r="N97" s="26"/>
      <c r="O97" s="43"/>
      <c r="P97" s="44"/>
      <c r="R97" s="53"/>
      <c r="S97" s="65"/>
      <c r="T97" s="66"/>
      <c r="U97" s="58"/>
      <c r="V97" s="62"/>
      <c r="W97" s="50"/>
    </row>
    <row r="98" ht="15.75" customHeight="1">
      <c r="A98" s="35">
        <v>94.0</v>
      </c>
      <c r="B98" s="36" t="s">
        <v>128</v>
      </c>
      <c r="C98" s="37">
        <v>46118.0</v>
      </c>
      <c r="D98" s="19">
        <f t="shared" si="1"/>
        <v>46118</v>
      </c>
      <c r="E98" s="38">
        <v>300.0</v>
      </c>
      <c r="F98" s="21"/>
      <c r="G98" s="22"/>
      <c r="H98" s="39"/>
      <c r="L98" s="87"/>
      <c r="M98" s="41"/>
      <c r="N98" s="26"/>
      <c r="O98" s="43"/>
      <c r="P98" s="44"/>
      <c r="R98" s="53"/>
      <c r="S98" s="65"/>
      <c r="T98" s="66"/>
      <c r="U98" s="58"/>
      <c r="V98" s="62"/>
      <c r="W98" s="50"/>
    </row>
    <row r="99" ht="15.75" customHeight="1">
      <c r="A99" s="35">
        <v>95.0</v>
      </c>
      <c r="B99" s="36" t="s">
        <v>120</v>
      </c>
      <c r="C99" s="37">
        <v>46119.0</v>
      </c>
      <c r="D99" s="19">
        <f t="shared" si="1"/>
        <v>46119</v>
      </c>
      <c r="E99" s="38">
        <v>150.0</v>
      </c>
      <c r="F99" s="21"/>
      <c r="G99" s="22"/>
      <c r="H99" s="39"/>
      <c r="L99" s="87"/>
      <c r="M99" s="41"/>
      <c r="N99" s="26"/>
      <c r="O99" s="43"/>
      <c r="P99" s="44"/>
      <c r="R99" s="53"/>
      <c r="S99" s="65"/>
      <c r="T99" s="66"/>
      <c r="U99" s="58"/>
      <c r="V99" s="62"/>
      <c r="W99" s="50"/>
    </row>
    <row r="100" ht="15.75" customHeight="1">
      <c r="A100" s="35">
        <v>96.0</v>
      </c>
      <c r="B100" s="36"/>
      <c r="C100" s="37"/>
      <c r="D100" s="19" t="str">
        <f t="shared" si="1"/>
        <v/>
      </c>
      <c r="E100" s="20"/>
      <c r="F100" s="21"/>
      <c r="G100" s="22"/>
      <c r="H100" s="39"/>
      <c r="L100" s="87"/>
      <c r="M100" s="41"/>
      <c r="N100" s="26"/>
      <c r="O100" s="43"/>
      <c r="P100" s="44"/>
      <c r="R100" s="53"/>
      <c r="S100" s="65"/>
      <c r="T100" s="66"/>
      <c r="U100" s="58"/>
      <c r="V100" s="62"/>
      <c r="W100" s="50"/>
    </row>
    <row r="101" ht="15.75" customHeight="1">
      <c r="A101" s="35">
        <v>97.0</v>
      </c>
      <c r="B101" s="36"/>
      <c r="C101" s="37"/>
      <c r="D101" s="19" t="str">
        <f t="shared" si="1"/>
        <v/>
      </c>
      <c r="E101" s="20"/>
      <c r="F101" s="21"/>
      <c r="G101" s="22"/>
      <c r="H101" s="39"/>
      <c r="L101" s="87"/>
      <c r="M101" s="41"/>
      <c r="N101" s="26"/>
      <c r="O101" s="43"/>
      <c r="P101" s="44"/>
      <c r="R101" s="53"/>
      <c r="S101" s="65"/>
      <c r="T101" s="66"/>
      <c r="U101" s="58"/>
      <c r="V101" s="62"/>
      <c r="W101" s="50"/>
    </row>
    <row r="102" ht="15.75" customHeight="1">
      <c r="A102" s="35">
        <v>98.0</v>
      </c>
      <c r="B102" s="36"/>
      <c r="C102" s="37"/>
      <c r="D102" s="19" t="str">
        <f t="shared" si="1"/>
        <v/>
      </c>
      <c r="E102" s="20"/>
      <c r="F102" s="21"/>
      <c r="G102" s="22"/>
      <c r="H102" s="39"/>
      <c r="L102" s="87"/>
      <c r="M102" s="41"/>
      <c r="N102" s="26"/>
      <c r="O102" s="43"/>
      <c r="P102" s="44"/>
      <c r="R102" s="53"/>
      <c r="S102" s="65"/>
      <c r="T102" s="66"/>
      <c r="U102" s="58"/>
      <c r="V102" s="62"/>
      <c r="W102" s="50"/>
    </row>
    <row r="103" ht="15.75" customHeight="1">
      <c r="A103" s="35">
        <v>99.0</v>
      </c>
      <c r="B103" s="36"/>
      <c r="C103" s="37"/>
      <c r="D103" s="19" t="str">
        <f t="shared" si="1"/>
        <v/>
      </c>
      <c r="E103" s="20"/>
      <c r="F103" s="21"/>
      <c r="G103" s="22"/>
      <c r="H103" s="39"/>
      <c r="L103" s="87"/>
      <c r="M103" s="41"/>
      <c r="N103" s="26"/>
      <c r="O103" s="43"/>
      <c r="P103" s="44"/>
      <c r="R103" s="53"/>
      <c r="S103" s="65"/>
      <c r="T103" s="66"/>
      <c r="U103" s="58"/>
      <c r="V103" s="62"/>
      <c r="W103" s="50"/>
    </row>
    <row r="104" ht="15.75" customHeight="1">
      <c r="A104" s="35">
        <v>100.0</v>
      </c>
      <c r="B104" s="36"/>
      <c r="C104" s="37"/>
      <c r="D104" s="19" t="str">
        <f t="shared" si="1"/>
        <v/>
      </c>
      <c r="E104" s="20"/>
      <c r="F104" s="21"/>
      <c r="G104" s="22"/>
      <c r="H104" s="39"/>
      <c r="L104" s="87"/>
      <c r="M104" s="41"/>
      <c r="N104" s="26"/>
      <c r="O104" s="43"/>
      <c r="P104" s="44"/>
      <c r="R104" s="53"/>
      <c r="S104" s="65"/>
      <c r="T104" s="66"/>
      <c r="U104" s="58"/>
      <c r="V104" s="62"/>
      <c r="W104" s="50"/>
    </row>
    <row r="105" ht="15.75" customHeight="1">
      <c r="A105" s="35">
        <v>101.0</v>
      </c>
      <c r="B105" s="36"/>
      <c r="C105" s="37"/>
      <c r="D105" s="19" t="str">
        <f t="shared" si="1"/>
        <v/>
      </c>
      <c r="E105" s="20"/>
      <c r="F105" s="21"/>
      <c r="G105" s="22"/>
      <c r="H105" s="39"/>
      <c r="L105" s="87"/>
      <c r="M105" s="41"/>
      <c r="N105" s="26"/>
      <c r="O105" s="43"/>
      <c r="P105" s="44"/>
      <c r="R105" s="53"/>
      <c r="S105" s="65"/>
      <c r="T105" s="66"/>
      <c r="U105" s="58"/>
      <c r="V105" s="62"/>
      <c r="W105" s="50"/>
    </row>
    <row r="106" ht="15.75" customHeight="1">
      <c r="A106" s="35">
        <v>102.0</v>
      </c>
      <c r="B106" s="36"/>
      <c r="C106" s="37"/>
      <c r="D106" s="19" t="str">
        <f t="shared" si="1"/>
        <v/>
      </c>
      <c r="E106" s="20"/>
      <c r="F106" s="21"/>
      <c r="G106" s="22"/>
      <c r="H106" s="39"/>
      <c r="L106" s="87"/>
      <c r="M106" s="41"/>
      <c r="N106" s="26"/>
      <c r="O106" s="43"/>
      <c r="P106" s="44"/>
      <c r="R106" s="53"/>
      <c r="S106" s="65"/>
      <c r="T106" s="66"/>
      <c r="U106" s="58"/>
      <c r="V106" s="62"/>
      <c r="W106" s="50"/>
    </row>
    <row r="107" ht="15.75" customHeight="1">
      <c r="A107" s="35">
        <v>103.0</v>
      </c>
      <c r="B107" s="36"/>
      <c r="C107" s="37"/>
      <c r="D107" s="19" t="str">
        <f t="shared" si="1"/>
        <v/>
      </c>
      <c r="E107" s="20"/>
      <c r="F107" s="21"/>
      <c r="G107" s="22"/>
      <c r="H107" s="39"/>
      <c r="L107" s="87"/>
      <c r="M107" s="41"/>
      <c r="N107" s="26"/>
      <c r="O107" s="43"/>
      <c r="P107" s="44"/>
      <c r="R107" s="53"/>
      <c r="S107" s="65"/>
      <c r="T107" s="66"/>
      <c r="U107" s="58"/>
      <c r="V107" s="62"/>
      <c r="W107" s="50"/>
    </row>
    <row r="108" ht="15.75" customHeight="1">
      <c r="A108" s="35">
        <v>104.0</v>
      </c>
      <c r="B108" s="36"/>
      <c r="C108" s="37"/>
      <c r="D108" s="19" t="str">
        <f t="shared" si="1"/>
        <v/>
      </c>
      <c r="E108" s="20"/>
      <c r="F108" s="21"/>
      <c r="G108" s="22"/>
      <c r="H108" s="39"/>
      <c r="L108" s="87"/>
      <c r="M108" s="41"/>
      <c r="N108" s="26"/>
      <c r="O108" s="43"/>
      <c r="P108" s="44"/>
      <c r="R108" s="53"/>
      <c r="S108" s="65"/>
      <c r="T108" s="66"/>
      <c r="U108" s="58"/>
      <c r="V108" s="62"/>
      <c r="W108" s="50"/>
    </row>
    <row r="109" ht="15.75" customHeight="1">
      <c r="A109" s="35">
        <v>105.0</v>
      </c>
      <c r="B109" s="36"/>
      <c r="C109" s="37"/>
      <c r="D109" s="19" t="str">
        <f t="shared" si="1"/>
        <v/>
      </c>
      <c r="E109" s="20"/>
      <c r="F109" s="21"/>
      <c r="G109" s="22"/>
      <c r="H109" s="39"/>
      <c r="L109" s="87"/>
      <c r="M109" s="41"/>
      <c r="N109" s="26"/>
      <c r="O109" s="43"/>
      <c r="P109" s="44"/>
      <c r="R109" s="53"/>
      <c r="S109" s="65"/>
      <c r="T109" s="66"/>
      <c r="U109" s="58"/>
      <c r="V109" s="62"/>
      <c r="W109" s="50"/>
    </row>
    <row r="110" ht="15.75" customHeight="1">
      <c r="A110" s="35">
        <v>106.0</v>
      </c>
      <c r="B110" s="36"/>
      <c r="C110" s="37"/>
      <c r="D110" s="19" t="str">
        <f t="shared" si="1"/>
        <v/>
      </c>
      <c r="E110" s="20"/>
      <c r="F110" s="21"/>
      <c r="G110" s="22"/>
      <c r="H110" s="39"/>
      <c r="L110" s="87"/>
      <c r="M110" s="41"/>
      <c r="N110" s="26"/>
      <c r="O110" s="43"/>
      <c r="P110" s="44"/>
      <c r="R110" s="53"/>
      <c r="S110" s="65"/>
      <c r="T110" s="66"/>
      <c r="U110" s="58"/>
      <c r="V110" s="62"/>
      <c r="W110" s="50"/>
    </row>
    <row r="111" ht="15.75" customHeight="1">
      <c r="A111" s="35">
        <v>107.0</v>
      </c>
      <c r="B111" s="36"/>
      <c r="C111" s="37"/>
      <c r="D111" s="19" t="str">
        <f t="shared" si="1"/>
        <v/>
      </c>
      <c r="E111" s="20"/>
      <c r="F111" s="21"/>
      <c r="G111" s="22"/>
      <c r="H111" s="39"/>
      <c r="L111" s="87"/>
      <c r="M111" s="41"/>
      <c r="N111" s="26"/>
      <c r="O111" s="43"/>
      <c r="P111" s="44"/>
      <c r="R111" s="53"/>
      <c r="S111" s="65"/>
      <c r="T111" s="66"/>
      <c r="U111" s="58"/>
      <c r="V111" s="62"/>
      <c r="W111" s="50"/>
    </row>
    <row r="112" ht="15.75" customHeight="1">
      <c r="A112" s="35">
        <v>108.0</v>
      </c>
      <c r="B112" s="36"/>
      <c r="C112" s="37"/>
      <c r="D112" s="19" t="str">
        <f t="shared" si="1"/>
        <v/>
      </c>
      <c r="E112" s="20"/>
      <c r="F112" s="21"/>
      <c r="G112" s="22"/>
      <c r="H112" s="39"/>
      <c r="L112" s="87"/>
      <c r="M112" s="41"/>
      <c r="N112" s="26"/>
      <c r="O112" s="43"/>
      <c r="P112" s="44"/>
      <c r="R112" s="53"/>
      <c r="S112" s="65"/>
      <c r="T112" s="66"/>
      <c r="U112" s="58"/>
      <c r="V112" s="62"/>
      <c r="W112" s="50"/>
    </row>
    <row r="113" ht="15.75" customHeight="1">
      <c r="A113" s="35">
        <v>109.0</v>
      </c>
      <c r="B113" s="36"/>
      <c r="C113" s="37"/>
      <c r="D113" s="19" t="str">
        <f t="shared" si="1"/>
        <v/>
      </c>
      <c r="E113" s="20"/>
      <c r="F113" s="21"/>
      <c r="G113" s="22"/>
      <c r="H113" s="39"/>
      <c r="L113" s="87"/>
      <c r="M113" s="41"/>
      <c r="N113" s="26"/>
      <c r="O113" s="43"/>
      <c r="P113" s="44"/>
      <c r="R113" s="53"/>
      <c r="S113" s="65"/>
      <c r="T113" s="66"/>
      <c r="U113" s="58"/>
      <c r="V113" s="62"/>
      <c r="W113" s="50"/>
    </row>
    <row r="114" ht="15.75" customHeight="1">
      <c r="A114" s="35">
        <v>110.0</v>
      </c>
      <c r="B114" s="36"/>
      <c r="C114" s="37"/>
      <c r="D114" s="19" t="str">
        <f t="shared" si="1"/>
        <v/>
      </c>
      <c r="E114" s="20"/>
      <c r="F114" s="21"/>
      <c r="G114" s="22"/>
      <c r="H114" s="39"/>
      <c r="L114" s="87"/>
      <c r="M114" s="41"/>
      <c r="N114" s="26"/>
      <c r="O114" s="43"/>
      <c r="P114" s="44"/>
      <c r="R114" s="53"/>
      <c r="S114" s="65"/>
      <c r="T114" s="66"/>
      <c r="U114" s="58"/>
      <c r="V114" s="62"/>
      <c r="W114" s="50"/>
    </row>
    <row r="115" ht="15.75" customHeight="1">
      <c r="A115" s="35">
        <v>111.0</v>
      </c>
      <c r="B115" s="36"/>
      <c r="C115" s="37"/>
      <c r="D115" s="19" t="str">
        <f t="shared" si="1"/>
        <v/>
      </c>
      <c r="E115" s="20"/>
      <c r="F115" s="21"/>
      <c r="G115" s="22"/>
      <c r="H115" s="39"/>
      <c r="L115" s="87"/>
      <c r="M115" s="41"/>
      <c r="N115" s="26"/>
      <c r="O115" s="43"/>
      <c r="P115" s="44"/>
      <c r="R115" s="53"/>
      <c r="S115" s="65"/>
      <c r="T115" s="66"/>
      <c r="U115" s="58"/>
      <c r="V115" s="62"/>
      <c r="W115" s="50"/>
    </row>
    <row r="116" ht="15.75" customHeight="1">
      <c r="A116" s="35">
        <v>112.0</v>
      </c>
      <c r="B116" s="36"/>
      <c r="C116" s="37"/>
      <c r="D116" s="19" t="str">
        <f t="shared" si="1"/>
        <v/>
      </c>
      <c r="E116" s="20"/>
      <c r="F116" s="21"/>
      <c r="G116" s="22"/>
      <c r="H116" s="39"/>
      <c r="L116" s="87"/>
      <c r="M116" s="41"/>
      <c r="N116" s="26"/>
      <c r="O116" s="43"/>
      <c r="P116" s="44"/>
      <c r="R116" s="53"/>
      <c r="S116" s="65"/>
      <c r="T116" s="66"/>
      <c r="U116" s="58"/>
      <c r="V116" s="62"/>
      <c r="W116" s="50"/>
    </row>
    <row r="117" ht="15.75" customHeight="1">
      <c r="A117" s="35">
        <v>113.0</v>
      </c>
      <c r="B117" s="36"/>
      <c r="C117" s="37"/>
      <c r="D117" s="19" t="str">
        <f t="shared" si="1"/>
        <v/>
      </c>
      <c r="E117" s="20"/>
      <c r="F117" s="21"/>
      <c r="G117" s="22"/>
      <c r="H117" s="39"/>
      <c r="L117" s="87"/>
      <c r="M117" s="41"/>
      <c r="N117" s="26"/>
      <c r="O117" s="43"/>
      <c r="P117" s="44"/>
      <c r="R117" s="53"/>
      <c r="S117" s="65"/>
      <c r="T117" s="66"/>
      <c r="U117" s="58"/>
      <c r="V117" s="62"/>
      <c r="W117" s="50"/>
    </row>
    <row r="118" ht="15.75" customHeight="1">
      <c r="A118" s="35">
        <v>114.0</v>
      </c>
      <c r="B118" s="36"/>
      <c r="C118" s="37"/>
      <c r="D118" s="19" t="str">
        <f t="shared" si="1"/>
        <v/>
      </c>
      <c r="E118" s="20"/>
      <c r="F118" s="21"/>
      <c r="G118" s="22"/>
      <c r="H118" s="39"/>
      <c r="L118" s="87"/>
      <c r="M118" s="41"/>
      <c r="N118" s="26"/>
      <c r="O118" s="43"/>
      <c r="P118" s="44"/>
      <c r="R118" s="53"/>
      <c r="S118" s="65"/>
      <c r="T118" s="66"/>
      <c r="U118" s="58"/>
      <c r="V118" s="62"/>
      <c r="W118" s="50"/>
    </row>
    <row r="119" ht="15.75" customHeight="1">
      <c r="A119" s="35">
        <v>115.0</v>
      </c>
      <c r="B119" s="36"/>
      <c r="C119" s="37"/>
      <c r="D119" s="19" t="str">
        <f t="shared" si="1"/>
        <v/>
      </c>
      <c r="E119" s="20"/>
      <c r="F119" s="21"/>
      <c r="G119" s="22"/>
      <c r="H119" s="39"/>
      <c r="L119" s="87"/>
      <c r="M119" s="41"/>
      <c r="N119" s="26"/>
      <c r="O119" s="43"/>
      <c r="P119" s="44"/>
      <c r="R119" s="53"/>
      <c r="S119" s="65"/>
      <c r="T119" s="66"/>
      <c r="U119" s="58"/>
      <c r="V119" s="62"/>
      <c r="W119" s="50"/>
    </row>
    <row r="120" ht="15.75" customHeight="1">
      <c r="A120" s="35">
        <v>116.0</v>
      </c>
      <c r="B120" s="36"/>
      <c r="C120" s="37"/>
      <c r="D120" s="19" t="str">
        <f t="shared" si="1"/>
        <v/>
      </c>
      <c r="E120" s="20"/>
      <c r="F120" s="21"/>
      <c r="G120" s="22"/>
      <c r="H120" s="39"/>
      <c r="L120" s="87"/>
      <c r="M120" s="41"/>
      <c r="N120" s="26"/>
      <c r="O120" s="43"/>
      <c r="P120" s="44"/>
      <c r="R120" s="53"/>
      <c r="S120" s="65"/>
      <c r="T120" s="66"/>
      <c r="U120" s="58"/>
      <c r="V120" s="62"/>
      <c r="W120" s="50"/>
    </row>
    <row r="121" ht="15.75" customHeight="1">
      <c r="A121" s="35">
        <v>117.0</v>
      </c>
      <c r="B121" s="36"/>
      <c r="C121" s="37"/>
      <c r="D121" s="19" t="str">
        <f t="shared" si="1"/>
        <v/>
      </c>
      <c r="E121" s="20"/>
      <c r="F121" s="21"/>
      <c r="G121" s="22"/>
      <c r="H121" s="39"/>
      <c r="L121" s="87"/>
      <c r="M121" s="41"/>
      <c r="N121" s="26"/>
      <c r="O121" s="43"/>
      <c r="P121" s="44"/>
      <c r="R121" s="53"/>
      <c r="S121" s="65"/>
      <c r="T121" s="66"/>
      <c r="U121" s="58"/>
      <c r="V121" s="62"/>
      <c r="W121" s="50"/>
    </row>
    <row r="122" ht="15.75" customHeight="1">
      <c r="A122" s="35">
        <v>118.0</v>
      </c>
      <c r="B122" s="36"/>
      <c r="C122" s="37"/>
      <c r="D122" s="19" t="str">
        <f t="shared" si="1"/>
        <v/>
      </c>
      <c r="E122" s="20"/>
      <c r="F122" s="21"/>
      <c r="G122" s="22"/>
      <c r="H122" s="39"/>
      <c r="L122" s="87"/>
      <c r="M122" s="41"/>
      <c r="N122" s="26"/>
      <c r="O122" s="43"/>
      <c r="P122" s="44"/>
      <c r="R122" s="53"/>
      <c r="S122" s="65"/>
      <c r="T122" s="66"/>
      <c r="U122" s="58"/>
      <c r="V122" s="62"/>
      <c r="W122" s="50"/>
    </row>
    <row r="123" ht="15.75" customHeight="1">
      <c r="A123" s="35">
        <v>119.0</v>
      </c>
      <c r="B123" s="36"/>
      <c r="C123" s="37"/>
      <c r="D123" s="19" t="str">
        <f t="shared" si="1"/>
        <v/>
      </c>
      <c r="E123" s="20"/>
      <c r="F123" s="21"/>
      <c r="G123" s="22"/>
      <c r="H123" s="39"/>
      <c r="L123" s="87"/>
      <c r="M123" s="41"/>
      <c r="N123" s="26"/>
      <c r="O123" s="43"/>
      <c r="P123" s="44"/>
      <c r="R123" s="53"/>
      <c r="S123" s="65"/>
      <c r="T123" s="66"/>
      <c r="U123" s="58"/>
      <c r="V123" s="62"/>
      <c r="W123" s="50"/>
    </row>
    <row r="124" ht="15.75" customHeight="1">
      <c r="A124" s="35">
        <v>120.0</v>
      </c>
      <c r="B124" s="36"/>
      <c r="C124" s="37"/>
      <c r="D124" s="19" t="str">
        <f t="shared" si="1"/>
        <v/>
      </c>
      <c r="E124" s="20"/>
      <c r="F124" s="21"/>
      <c r="G124" s="22"/>
      <c r="H124" s="39"/>
      <c r="L124" s="87"/>
      <c r="M124" s="41"/>
      <c r="N124" s="26"/>
      <c r="O124" s="43"/>
      <c r="P124" s="44"/>
      <c r="R124" s="53"/>
      <c r="S124" s="65"/>
      <c r="T124" s="66"/>
      <c r="U124" s="58"/>
      <c r="V124" s="62"/>
      <c r="W124" s="50"/>
    </row>
    <row r="125" ht="15.75" customHeight="1">
      <c r="A125" s="35">
        <v>121.0</v>
      </c>
      <c r="B125" s="36"/>
      <c r="C125" s="37"/>
      <c r="D125" s="19" t="str">
        <f t="shared" si="1"/>
        <v/>
      </c>
      <c r="E125" s="20"/>
      <c r="F125" s="21"/>
      <c r="G125" s="22"/>
      <c r="H125" s="39"/>
      <c r="L125" s="87"/>
      <c r="M125" s="41"/>
      <c r="N125" s="26"/>
      <c r="O125" s="43"/>
      <c r="P125" s="44"/>
      <c r="R125" s="53"/>
      <c r="S125" s="65"/>
      <c r="T125" s="66"/>
      <c r="U125" s="58"/>
      <c r="V125" s="62"/>
      <c r="W125" s="50"/>
    </row>
    <row r="126" ht="15.75" customHeight="1">
      <c r="A126" s="35">
        <v>122.0</v>
      </c>
      <c r="B126" s="36"/>
      <c r="C126" s="37"/>
      <c r="D126" s="19" t="str">
        <f t="shared" si="1"/>
        <v/>
      </c>
      <c r="E126" s="20"/>
      <c r="F126" s="21"/>
      <c r="G126" s="22"/>
      <c r="H126" s="39"/>
      <c r="L126" s="87"/>
      <c r="M126" s="41"/>
      <c r="N126" s="26"/>
      <c r="O126" s="43"/>
      <c r="P126" s="44"/>
      <c r="R126" s="53"/>
      <c r="S126" s="65"/>
      <c r="T126" s="66"/>
      <c r="U126" s="58"/>
      <c r="V126" s="62"/>
      <c r="W126" s="50"/>
    </row>
    <row r="127" ht="15.75" customHeight="1">
      <c r="A127" s="35">
        <v>123.0</v>
      </c>
      <c r="B127" s="36"/>
      <c r="C127" s="37"/>
      <c r="D127" s="19" t="str">
        <f t="shared" si="1"/>
        <v/>
      </c>
      <c r="E127" s="20"/>
      <c r="F127" s="21"/>
      <c r="G127" s="22"/>
      <c r="H127" s="39"/>
      <c r="L127" s="87"/>
      <c r="M127" s="41"/>
      <c r="N127" s="26"/>
      <c r="O127" s="43"/>
      <c r="P127" s="44"/>
      <c r="R127" s="53"/>
      <c r="S127" s="65"/>
      <c r="T127" s="66"/>
      <c r="U127" s="58"/>
      <c r="V127" s="62"/>
      <c r="W127" s="50"/>
    </row>
    <row r="128" ht="15.75" customHeight="1">
      <c r="A128" s="35">
        <v>124.0</v>
      </c>
      <c r="B128" s="36"/>
      <c r="C128" s="37"/>
      <c r="D128" s="19" t="str">
        <f t="shared" si="1"/>
        <v/>
      </c>
      <c r="E128" s="20"/>
      <c r="F128" s="21"/>
      <c r="G128" s="22"/>
      <c r="H128" s="39"/>
      <c r="L128" s="87"/>
      <c r="M128" s="41"/>
      <c r="N128" s="26"/>
      <c r="O128" s="43"/>
      <c r="P128" s="44"/>
      <c r="R128" s="53"/>
      <c r="S128" s="65"/>
      <c r="T128" s="66"/>
      <c r="U128" s="58"/>
      <c r="V128" s="62"/>
      <c r="W128" s="50"/>
    </row>
    <row r="129" ht="15.75" customHeight="1">
      <c r="A129" s="35">
        <v>125.0</v>
      </c>
      <c r="B129" s="36"/>
      <c r="C129" s="37"/>
      <c r="D129" s="19" t="str">
        <f t="shared" si="1"/>
        <v/>
      </c>
      <c r="E129" s="20"/>
      <c r="F129" s="21"/>
      <c r="G129" s="22"/>
      <c r="H129" s="39"/>
      <c r="L129" s="87"/>
      <c r="M129" s="41"/>
      <c r="N129" s="26"/>
      <c r="O129" s="43"/>
      <c r="P129" s="44"/>
      <c r="R129" s="53"/>
      <c r="S129" s="65"/>
      <c r="T129" s="66"/>
      <c r="U129" s="58"/>
      <c r="V129" s="62"/>
      <c r="W129" s="50"/>
    </row>
    <row r="130" ht="15.75" customHeight="1">
      <c r="A130" s="35">
        <v>126.0</v>
      </c>
      <c r="B130" s="36"/>
      <c r="C130" s="37"/>
      <c r="D130" s="19" t="str">
        <f t="shared" si="1"/>
        <v/>
      </c>
      <c r="E130" s="20"/>
      <c r="F130" s="21"/>
      <c r="G130" s="22"/>
      <c r="H130" s="39"/>
      <c r="L130" s="87"/>
      <c r="M130" s="41"/>
      <c r="N130" s="26"/>
      <c r="O130" s="43"/>
      <c r="P130" s="44"/>
      <c r="R130" s="53"/>
      <c r="S130" s="65"/>
      <c r="T130" s="66"/>
      <c r="U130" s="58"/>
      <c r="V130" s="62"/>
      <c r="W130" s="50"/>
    </row>
    <row r="131" ht="15.75" customHeight="1">
      <c r="A131" s="35">
        <v>127.0</v>
      </c>
      <c r="B131" s="36"/>
      <c r="C131" s="37"/>
      <c r="D131" s="19" t="str">
        <f t="shared" si="1"/>
        <v/>
      </c>
      <c r="E131" s="20"/>
      <c r="F131" s="21"/>
      <c r="G131" s="22"/>
      <c r="H131" s="39"/>
      <c r="L131" s="87"/>
      <c r="M131" s="41"/>
      <c r="N131" s="26"/>
      <c r="O131" s="43"/>
      <c r="P131" s="44"/>
      <c r="R131" s="53"/>
      <c r="S131" s="65"/>
      <c r="T131" s="66"/>
      <c r="U131" s="58"/>
      <c r="V131" s="62"/>
      <c r="W131" s="50"/>
    </row>
    <row r="132" ht="15.75" customHeight="1">
      <c r="A132" s="35">
        <v>128.0</v>
      </c>
      <c r="B132" s="36"/>
      <c r="C132" s="37"/>
      <c r="D132" s="19" t="str">
        <f t="shared" si="1"/>
        <v/>
      </c>
      <c r="E132" s="20"/>
      <c r="F132" s="21"/>
      <c r="G132" s="22"/>
      <c r="H132" s="39"/>
      <c r="L132" s="87"/>
      <c r="M132" s="41"/>
      <c r="N132" s="26"/>
      <c r="O132" s="43"/>
      <c r="P132" s="44"/>
      <c r="R132" s="53"/>
      <c r="S132" s="65"/>
      <c r="T132" s="66"/>
      <c r="U132" s="58"/>
      <c r="V132" s="62"/>
      <c r="W132" s="50"/>
    </row>
    <row r="133" ht="15.75" customHeight="1">
      <c r="A133" s="35">
        <v>129.0</v>
      </c>
      <c r="B133" s="36"/>
      <c r="C133" s="37"/>
      <c r="D133" s="19" t="str">
        <f t="shared" si="1"/>
        <v/>
      </c>
      <c r="E133" s="20"/>
      <c r="F133" s="21"/>
      <c r="G133" s="22"/>
      <c r="H133" s="39"/>
      <c r="L133" s="87"/>
      <c r="M133" s="41"/>
      <c r="N133" s="26"/>
      <c r="O133" s="43"/>
      <c r="P133" s="44"/>
      <c r="R133" s="53"/>
      <c r="S133" s="65"/>
      <c r="T133" s="66"/>
      <c r="U133" s="58"/>
      <c r="V133" s="62"/>
      <c r="W133" s="50"/>
    </row>
    <row r="134" ht="15.75" customHeight="1">
      <c r="A134" s="35">
        <v>130.0</v>
      </c>
      <c r="B134" s="36"/>
      <c r="C134" s="37"/>
      <c r="D134" s="19" t="str">
        <f t="shared" si="1"/>
        <v/>
      </c>
      <c r="E134" s="20"/>
      <c r="F134" s="21"/>
      <c r="G134" s="22"/>
      <c r="H134" s="39"/>
      <c r="L134" s="87"/>
      <c r="M134" s="41"/>
      <c r="N134" s="26"/>
      <c r="O134" s="43"/>
      <c r="P134" s="44"/>
      <c r="R134" s="53"/>
      <c r="S134" s="65"/>
      <c r="T134" s="66"/>
      <c r="U134" s="58"/>
      <c r="V134" s="62"/>
      <c r="W134" s="50"/>
    </row>
    <row r="135" ht="15.75" customHeight="1">
      <c r="A135" s="35">
        <v>131.0</v>
      </c>
      <c r="B135" s="36"/>
      <c r="C135" s="37"/>
      <c r="D135" s="19" t="str">
        <f t="shared" si="1"/>
        <v/>
      </c>
      <c r="E135" s="20"/>
      <c r="F135" s="21"/>
      <c r="G135" s="22"/>
      <c r="H135" s="39"/>
      <c r="L135" s="87"/>
      <c r="M135" s="41"/>
      <c r="N135" s="26"/>
      <c r="O135" s="43"/>
      <c r="P135" s="44"/>
      <c r="R135" s="53"/>
      <c r="S135" s="65"/>
      <c r="T135" s="66"/>
      <c r="U135" s="58"/>
      <c r="V135" s="62"/>
      <c r="W135" s="50"/>
    </row>
    <row r="136" ht="15.75" customHeight="1">
      <c r="A136" s="35">
        <v>132.0</v>
      </c>
      <c r="B136" s="36"/>
      <c r="C136" s="37"/>
      <c r="D136" s="19" t="str">
        <f t="shared" si="1"/>
        <v/>
      </c>
      <c r="E136" s="20"/>
      <c r="F136" s="21"/>
      <c r="G136" s="22"/>
      <c r="H136" s="39"/>
      <c r="L136" s="88" t="s">
        <v>46</v>
      </c>
      <c r="M136" s="89"/>
      <c r="N136" s="90">
        <f>SUM(N5:N135)</f>
        <v>39850</v>
      </c>
      <c r="O136" s="43"/>
      <c r="P136" s="44"/>
      <c r="R136" s="91" t="s">
        <v>139</v>
      </c>
      <c r="S136" s="92"/>
      <c r="T136" s="93">
        <f>SUM(T5:T135)-SUM(V5:V135)</f>
        <v>1588</v>
      </c>
      <c r="U136" s="94"/>
      <c r="V136" s="62"/>
      <c r="W136" s="95">
        <f>SUM(W5:W135)</f>
        <v>0</v>
      </c>
    </row>
    <row r="137" ht="15.75" customHeight="1">
      <c r="B137" s="96" t="s">
        <v>46</v>
      </c>
      <c r="C137" s="9"/>
      <c r="D137" s="10"/>
      <c r="E137" s="97">
        <f>SUM(E5:E136)+SUM(G5:G136)</f>
        <v>36008</v>
      </c>
      <c r="F137" s="98"/>
      <c r="G137" s="98">
        <f>SUM(G5:G136)</f>
        <v>0</v>
      </c>
      <c r="H137" s="99"/>
      <c r="L137" s="100"/>
      <c r="M137" s="101"/>
      <c r="N137" s="84"/>
      <c r="O137" s="43"/>
      <c r="P137" s="44"/>
      <c r="R137" s="100"/>
      <c r="S137" s="101"/>
      <c r="T137" s="84"/>
      <c r="U137" s="43"/>
      <c r="V137" s="62"/>
      <c r="W137" s="84"/>
    </row>
    <row r="138" ht="15.75" customHeight="1">
      <c r="B138" s="96" t="s">
        <v>140</v>
      </c>
      <c r="C138" s="9"/>
      <c r="D138" s="10"/>
      <c r="E138" s="97">
        <f>E137-N138</f>
        <v>-3842</v>
      </c>
      <c r="F138" s="98"/>
      <c r="G138" s="98"/>
      <c r="H138" s="99"/>
      <c r="L138" s="96" t="s">
        <v>141</v>
      </c>
      <c r="M138" s="10"/>
      <c r="N138" s="102">
        <f>SUM(N5:N135)</f>
        <v>39850</v>
      </c>
      <c r="O138" s="103"/>
      <c r="V138" s="5"/>
    </row>
    <row r="139" ht="42.75" customHeight="1">
      <c r="B139" s="104" t="s">
        <v>142</v>
      </c>
      <c r="C139" s="9"/>
      <c r="D139" s="10"/>
      <c r="E139" s="105"/>
      <c r="F139" s="106"/>
      <c r="G139" s="107"/>
      <c r="H139" s="108"/>
      <c r="L139" s="109" t="s">
        <v>143</v>
      </c>
      <c r="M139" s="10"/>
      <c r="N139" s="110">
        <f>6000-SUM(N43:N51,N54:N55,)</f>
        <v>0</v>
      </c>
      <c r="O139" s="73" t="s">
        <v>144</v>
      </c>
      <c r="V139" s="5"/>
    </row>
    <row r="140" ht="15.75" customHeight="1">
      <c r="B140" s="104" t="s">
        <v>145</v>
      </c>
      <c r="C140" s="9"/>
      <c r="D140" s="10"/>
      <c r="E140" s="107"/>
      <c r="F140" s="70"/>
      <c r="G140" s="107"/>
      <c r="H140" s="108"/>
      <c r="L140" s="111"/>
      <c r="N140" s="5">
        <f>6000-SUM(N56:N61,N63:N66,-N139,N67)+2000</f>
        <v>5157</v>
      </c>
      <c r="O140" s="112"/>
      <c r="S140" s="4"/>
      <c r="T140" s="5"/>
      <c r="V140" s="5"/>
    </row>
    <row r="141" ht="15.75" customHeight="1">
      <c r="B141" s="113" t="s">
        <v>146</v>
      </c>
      <c r="C141" s="9"/>
      <c r="D141" s="10"/>
      <c r="E141" s="114"/>
      <c r="F141" s="107"/>
      <c r="G141" s="107"/>
      <c r="H141" s="108"/>
      <c r="M141" s="4"/>
      <c r="N141" s="5"/>
      <c r="S141" s="4"/>
      <c r="T141" s="5"/>
      <c r="V141" s="5"/>
    </row>
    <row r="142" ht="15.75" customHeight="1">
      <c r="D142" s="3"/>
      <c r="M142" s="4"/>
      <c r="N142" s="5"/>
      <c r="S142" s="4"/>
      <c r="T142" s="5"/>
      <c r="V142" s="5"/>
    </row>
    <row r="143" ht="15.75" customHeight="1">
      <c r="D143" s="3"/>
      <c r="F143" s="5"/>
      <c r="M143" s="4"/>
      <c r="N143" s="5"/>
      <c r="S143" s="4"/>
      <c r="T143" s="5"/>
      <c r="V143" s="5"/>
    </row>
    <row r="144" ht="15.75" customHeight="1">
      <c r="D144" s="3"/>
      <c r="M144" s="4"/>
      <c r="N144" s="5"/>
      <c r="S144" s="4"/>
      <c r="T144" s="5"/>
      <c r="V144" s="5"/>
    </row>
    <row r="145" ht="15.75" customHeight="1">
      <c r="D145" s="3"/>
      <c r="E145" s="5"/>
      <c r="M145" s="4"/>
      <c r="N145" s="5"/>
      <c r="S145" s="4"/>
      <c r="T145" s="5"/>
      <c r="V145" s="5"/>
    </row>
    <row r="146" ht="15.75" customHeight="1">
      <c r="D146" s="3"/>
      <c r="M146" s="4"/>
      <c r="N146" s="5"/>
      <c r="S146" s="4"/>
      <c r="T146" s="5"/>
      <c r="V146" s="5"/>
    </row>
    <row r="147" ht="15.75" customHeight="1">
      <c r="C147" s="115"/>
      <c r="D147" s="116" t="s">
        <v>147</v>
      </c>
      <c r="E147" s="117"/>
      <c r="F147" s="117"/>
      <c r="G147" s="118"/>
      <c r="M147" s="4"/>
      <c r="N147" s="5"/>
      <c r="S147" s="4"/>
      <c r="T147" s="5"/>
      <c r="V147" s="5"/>
    </row>
    <row r="148" ht="15.75" customHeight="1">
      <c r="C148" s="119" t="s">
        <v>148</v>
      </c>
      <c r="D148" s="120" t="s">
        <v>149</v>
      </c>
      <c r="E148" s="121" t="s">
        <v>150</v>
      </c>
      <c r="F148" s="121" t="s">
        <v>151</v>
      </c>
      <c r="G148" s="121" t="s">
        <v>152</v>
      </c>
      <c r="M148" s="4"/>
      <c r="N148" s="5"/>
      <c r="S148" s="4"/>
      <c r="T148" s="5"/>
      <c r="V148" s="5"/>
    </row>
    <row r="149" ht="15.75" customHeight="1">
      <c r="C149" s="115"/>
      <c r="D149" s="122">
        <v>180.0</v>
      </c>
      <c r="E149" s="123">
        <v>500.0</v>
      </c>
      <c r="F149" s="124">
        <v>600.0</v>
      </c>
      <c r="G149" s="125">
        <v>2000.0</v>
      </c>
      <c r="M149" s="4"/>
      <c r="N149" s="5"/>
      <c r="S149" s="4"/>
      <c r="T149" s="5"/>
      <c r="V149" s="5"/>
    </row>
    <row r="150" ht="43.5" customHeight="1">
      <c r="C150" s="126"/>
      <c r="D150" s="117"/>
      <c r="E150" s="117"/>
      <c r="F150" s="117"/>
      <c r="G150" s="118"/>
      <c r="M150" s="4"/>
      <c r="N150" s="5"/>
      <c r="S150" s="4"/>
      <c r="T150" s="5"/>
      <c r="V150" s="5"/>
    </row>
    <row r="151" ht="15.75" customHeight="1">
      <c r="C151" s="127" t="s">
        <v>153</v>
      </c>
      <c r="D151" s="120" t="s">
        <v>154</v>
      </c>
      <c r="E151" s="128" t="s">
        <v>155</v>
      </c>
      <c r="F151" s="128" t="s">
        <v>156</v>
      </c>
      <c r="G151" s="128" t="s">
        <v>157</v>
      </c>
      <c r="M151" s="4"/>
      <c r="N151" s="5"/>
      <c r="S151" s="4"/>
      <c r="T151" s="5"/>
      <c r="V151" s="5"/>
    </row>
    <row r="152" ht="15.75" customHeight="1">
      <c r="D152" s="122">
        <v>21.0</v>
      </c>
      <c r="E152" s="123">
        <v>48.0</v>
      </c>
      <c r="F152" s="124">
        <v>45.0</v>
      </c>
      <c r="G152" s="125">
        <v>80.0</v>
      </c>
      <c r="M152" s="4"/>
      <c r="N152" s="5"/>
      <c r="S152" s="4"/>
      <c r="T152" s="5"/>
      <c r="V152" s="5"/>
    </row>
    <row r="153" ht="15.75" customHeight="1">
      <c r="C153" s="115"/>
      <c r="D153" s="129" t="s">
        <v>158</v>
      </c>
      <c r="E153" s="118"/>
      <c r="F153" s="130">
        <f>SUM(D149:G149,D152:G152)</f>
        <v>3474</v>
      </c>
      <c r="G153" s="115"/>
      <c r="M153" s="4"/>
      <c r="N153" s="5"/>
      <c r="S153" s="4"/>
      <c r="T153" s="5"/>
      <c r="V153" s="5"/>
    </row>
    <row r="154" ht="54.0" customHeight="1">
      <c r="C154" s="115"/>
      <c r="D154" s="131" t="s">
        <v>159</v>
      </c>
      <c r="E154" s="118"/>
      <c r="F154" s="132" t="str">
        <f>E138-O139</f>
        <v>#VALUE!</v>
      </c>
      <c r="G154" s="115"/>
      <c r="H154" s="5"/>
      <c r="M154" s="4"/>
      <c r="N154" s="5"/>
      <c r="S154" s="4"/>
      <c r="T154" s="5"/>
      <c r="V154" s="5"/>
    </row>
    <row r="155" ht="15.75" customHeight="1">
      <c r="D155" s="3"/>
      <c r="M155" s="4"/>
      <c r="N155" s="5"/>
      <c r="S155" s="4"/>
      <c r="T155" s="5"/>
      <c r="V155" s="5"/>
    </row>
    <row r="156" ht="15.75" customHeight="1">
      <c r="D156" s="3"/>
      <c r="M156" s="4"/>
      <c r="N156" s="5"/>
      <c r="S156" s="4"/>
      <c r="T156" s="5"/>
      <c r="V156" s="5"/>
    </row>
    <row r="157" ht="15.75" customHeight="1">
      <c r="D157" s="3"/>
      <c r="M157" s="4"/>
      <c r="N157" s="5"/>
      <c r="S157" s="4"/>
      <c r="T157" s="5"/>
      <c r="V157" s="5"/>
    </row>
    <row r="158" ht="15.75" customHeight="1">
      <c r="C158" s="133" t="s">
        <v>160</v>
      </c>
      <c r="D158" s="134"/>
      <c r="E158" s="134"/>
      <c r="F158" s="134"/>
      <c r="G158" s="89"/>
      <c r="M158" s="4"/>
      <c r="N158" s="5"/>
      <c r="S158" s="4"/>
      <c r="T158" s="5"/>
      <c r="V158" s="5"/>
    </row>
    <row r="159" ht="15.75" customHeight="1">
      <c r="C159" s="100"/>
      <c r="D159" s="135"/>
      <c r="E159" s="135"/>
      <c r="F159" s="135"/>
      <c r="G159" s="101"/>
      <c r="M159" s="4"/>
      <c r="N159" s="5"/>
      <c r="S159" s="4"/>
      <c r="T159" s="5"/>
      <c r="V159" s="5"/>
    </row>
    <row r="160" ht="49.5" customHeight="1">
      <c r="C160" s="136" t="s">
        <v>161</v>
      </c>
      <c r="D160" s="137">
        <f>E137</f>
        <v>36008</v>
      </c>
      <c r="E160" s="9"/>
      <c r="F160" s="9"/>
      <c r="G160" s="10"/>
      <c r="H160" s="5"/>
      <c r="M160" s="4"/>
      <c r="N160" s="5"/>
      <c r="S160" s="4"/>
      <c r="T160" s="5"/>
      <c r="V160" s="5"/>
    </row>
    <row r="161" ht="49.5" customHeight="1">
      <c r="C161" s="138" t="s">
        <v>162</v>
      </c>
      <c r="D161" s="137">
        <f>N136</f>
        <v>39850</v>
      </c>
      <c r="E161" s="9"/>
      <c r="F161" s="9"/>
      <c r="G161" s="10"/>
      <c r="M161" s="4"/>
      <c r="N161" s="5"/>
      <c r="S161" s="4"/>
      <c r="T161" s="5"/>
      <c r="V161" s="5"/>
    </row>
    <row r="162" ht="49.5" customHeight="1">
      <c r="C162" s="139" t="s">
        <v>163</v>
      </c>
      <c r="D162" s="140">
        <f>T136</f>
        <v>1588</v>
      </c>
      <c r="E162" s="9"/>
      <c r="F162" s="9"/>
      <c r="G162" s="10"/>
      <c r="M162" s="4"/>
      <c r="N162" s="5"/>
      <c r="S162" s="4"/>
      <c r="T162" s="5"/>
      <c r="V162" s="5"/>
    </row>
    <row r="163" ht="49.5" customHeight="1">
      <c r="C163" s="141" t="s">
        <v>164</v>
      </c>
      <c r="D163" s="137">
        <f>E138</f>
        <v>-3842</v>
      </c>
      <c r="E163" s="9"/>
      <c r="F163" s="9"/>
      <c r="G163" s="10"/>
      <c r="M163" s="4"/>
      <c r="N163" s="5"/>
      <c r="S163" s="4"/>
      <c r="T163" s="5"/>
      <c r="V163" s="5"/>
    </row>
    <row r="164" ht="49.5" customHeight="1">
      <c r="C164" s="141" t="s">
        <v>165</v>
      </c>
      <c r="D164" s="137">
        <f>D163-D162</f>
        <v>-5430</v>
      </c>
      <c r="E164" s="9"/>
      <c r="F164" s="9"/>
      <c r="G164" s="10"/>
      <c r="M164" s="4"/>
      <c r="N164" s="5"/>
      <c r="S164" s="4"/>
      <c r="T164" s="5"/>
      <c r="V164" s="5"/>
    </row>
    <row r="165" ht="49.5" customHeight="1">
      <c r="C165" s="142" t="s">
        <v>166</v>
      </c>
      <c r="D165" s="137">
        <f>F153</f>
        <v>3474</v>
      </c>
      <c r="E165" s="9"/>
      <c r="F165" s="9"/>
      <c r="G165" s="10"/>
      <c r="M165" s="4"/>
      <c r="N165" s="5"/>
      <c r="S165" s="4"/>
      <c r="T165" s="5"/>
      <c r="V165" s="5"/>
    </row>
    <row r="166" ht="49.5" customHeight="1">
      <c r="C166" s="143" t="s">
        <v>167</v>
      </c>
      <c r="D166" s="144">
        <f>D163-D165</f>
        <v>-7316</v>
      </c>
      <c r="E166" s="134"/>
      <c r="F166" s="134"/>
      <c r="G166" s="89"/>
      <c r="M166" s="4"/>
      <c r="N166" s="5"/>
      <c r="S166" s="4"/>
      <c r="T166" s="5"/>
      <c r="V166" s="5"/>
    </row>
    <row r="167" ht="54.0" customHeight="1">
      <c r="C167" s="145" t="s">
        <v>168</v>
      </c>
      <c r="D167" s="146">
        <f>D163-D165</f>
        <v>-7316</v>
      </c>
      <c r="E167" s="9"/>
      <c r="F167" s="9"/>
      <c r="G167" s="10"/>
      <c r="M167" s="4"/>
      <c r="N167" s="5"/>
      <c r="S167" s="4"/>
      <c r="T167" s="5"/>
      <c r="V167" s="5"/>
    </row>
    <row r="168" ht="15.75" customHeight="1">
      <c r="C168" s="147" t="s">
        <v>169</v>
      </c>
      <c r="D168" s="148" t="str">
        <f>IF((D164-D165)&lt;0,"Sunt Destule chiar in plus cu : "&amp;(-(D164-D165))&amp;" LEI",IF((D164-D165)&gt;0,"Nu ajung : "&amp;(D164-D165)&amp;" LEI","Totul este Perfect"))</f>
        <v>Sunt Destule chiar in plus cu : 8904 LEI</v>
      </c>
      <c r="E168" s="9"/>
      <c r="F168" s="9"/>
      <c r="G168" s="10"/>
      <c r="M168" s="4"/>
      <c r="N168" s="5"/>
      <c r="S168" s="4"/>
      <c r="T168" s="5"/>
      <c r="V168" s="5"/>
    </row>
    <row r="169" ht="15.75" customHeight="1">
      <c r="D169" s="3"/>
      <c r="M169" s="4"/>
      <c r="N169" s="5"/>
      <c r="S169" s="4"/>
      <c r="T169" s="5"/>
      <c r="V169" s="5"/>
    </row>
    <row r="170" ht="15.75" customHeight="1">
      <c r="D170" s="3"/>
      <c r="M170" s="4"/>
      <c r="N170" s="5"/>
      <c r="S170" s="4"/>
      <c r="T170" s="5"/>
      <c r="V170" s="5"/>
    </row>
    <row r="171" ht="15.75" customHeight="1">
      <c r="D171" s="3"/>
      <c r="M171" s="4"/>
      <c r="N171" s="5"/>
      <c r="S171" s="4"/>
      <c r="T171" s="5"/>
      <c r="V171" s="5"/>
    </row>
    <row r="172" ht="15.75" customHeight="1">
      <c r="D172" s="3"/>
      <c r="M172" s="4"/>
      <c r="N172" s="5"/>
      <c r="S172" s="4"/>
      <c r="T172" s="5"/>
      <c r="V172" s="5"/>
    </row>
    <row r="173" ht="15.75" customHeight="1">
      <c r="D173" s="3"/>
      <c r="M173" s="4"/>
      <c r="N173" s="5"/>
      <c r="S173" s="4"/>
      <c r="T173" s="5"/>
      <c r="V173" s="5"/>
    </row>
    <row r="174" ht="15.75" customHeight="1">
      <c r="D174" s="3"/>
      <c r="M174" s="4"/>
      <c r="N174" s="5"/>
      <c r="S174" s="4"/>
      <c r="T174" s="5"/>
      <c r="V174" s="5"/>
    </row>
    <row r="175" ht="15.75" customHeight="1">
      <c r="D175" s="3"/>
      <c r="M175" s="4"/>
      <c r="N175" s="5"/>
      <c r="S175" s="4"/>
      <c r="T175" s="5"/>
      <c r="V175" s="5"/>
    </row>
    <row r="176" ht="15.75" customHeight="1">
      <c r="D176" s="3"/>
      <c r="M176" s="4"/>
      <c r="N176" s="5"/>
      <c r="S176" s="4"/>
      <c r="T176" s="5"/>
      <c r="V176" s="5"/>
    </row>
    <row r="177" ht="15.75" customHeight="1">
      <c r="D177" s="3"/>
      <c r="M177" s="4"/>
      <c r="N177" s="5"/>
      <c r="S177" s="4"/>
      <c r="T177" s="5"/>
      <c r="V177" s="5"/>
    </row>
    <row r="178" ht="15.75" customHeight="1">
      <c r="D178" s="3"/>
      <c r="M178" s="4"/>
      <c r="N178" s="5"/>
      <c r="S178" s="4"/>
      <c r="T178" s="5"/>
      <c r="V178" s="5"/>
    </row>
    <row r="179" ht="15.75" customHeight="1">
      <c r="D179" s="3"/>
      <c r="M179" s="4"/>
      <c r="N179" s="5"/>
      <c r="S179" s="4"/>
      <c r="T179" s="5"/>
      <c r="V179" s="5"/>
    </row>
    <row r="180" ht="15.75" customHeight="1">
      <c r="D180" s="3"/>
      <c r="M180" s="4"/>
      <c r="N180" s="5"/>
      <c r="S180" s="4"/>
      <c r="T180" s="5"/>
      <c r="V180" s="5"/>
    </row>
    <row r="181" ht="15.75" customHeight="1">
      <c r="D181" s="3"/>
      <c r="M181" s="4"/>
      <c r="N181" s="5"/>
      <c r="S181" s="4"/>
      <c r="T181" s="5"/>
      <c r="V181" s="5"/>
    </row>
    <row r="182" ht="15.75" customHeight="1">
      <c r="D182" s="3"/>
      <c r="M182" s="4"/>
      <c r="N182" s="5"/>
      <c r="S182" s="4"/>
      <c r="T182" s="5"/>
      <c r="V182" s="5"/>
    </row>
    <row r="183" ht="15.75" customHeight="1">
      <c r="D183" s="3"/>
      <c r="M183" s="4"/>
      <c r="N183" s="5"/>
      <c r="S183" s="4"/>
      <c r="T183" s="5"/>
      <c r="V183" s="5"/>
    </row>
    <row r="184" ht="15.75" customHeight="1">
      <c r="D184" s="3"/>
      <c r="M184" s="4"/>
      <c r="N184" s="5"/>
      <c r="S184" s="4"/>
      <c r="T184" s="5"/>
      <c r="V184" s="5"/>
    </row>
    <row r="185" ht="15.75" customHeight="1">
      <c r="D185" s="3"/>
      <c r="M185" s="4"/>
      <c r="N185" s="5"/>
      <c r="S185" s="4"/>
      <c r="T185" s="5"/>
      <c r="V185" s="5"/>
    </row>
    <row r="186" ht="15.75" customHeight="1">
      <c r="D186" s="3"/>
      <c r="M186" s="4"/>
      <c r="N186" s="5"/>
      <c r="S186" s="4"/>
      <c r="T186" s="5"/>
      <c r="V186" s="5"/>
    </row>
    <row r="187" ht="15.75" customHeight="1">
      <c r="D187" s="3"/>
      <c r="M187" s="4"/>
      <c r="N187" s="5"/>
      <c r="S187" s="4"/>
      <c r="T187" s="5"/>
      <c r="V187" s="5"/>
    </row>
    <row r="188" ht="15.75" customHeight="1">
      <c r="D188" s="3"/>
      <c r="M188" s="4"/>
      <c r="N188" s="5"/>
      <c r="S188" s="4"/>
      <c r="T188" s="5"/>
      <c r="V188" s="5"/>
    </row>
    <row r="189" ht="15.75" customHeight="1">
      <c r="D189" s="3"/>
      <c r="M189" s="4"/>
      <c r="N189" s="5"/>
      <c r="S189" s="4"/>
      <c r="T189" s="5"/>
      <c r="V189" s="5"/>
    </row>
    <row r="190" ht="15.75" customHeight="1">
      <c r="D190" s="3"/>
      <c r="M190" s="4"/>
      <c r="N190" s="5"/>
      <c r="S190" s="4"/>
      <c r="T190" s="5"/>
      <c r="V190" s="5"/>
    </row>
    <row r="191" ht="15.75" customHeight="1">
      <c r="D191" s="3"/>
      <c r="M191" s="4"/>
      <c r="N191" s="5"/>
      <c r="S191" s="4"/>
      <c r="T191" s="5"/>
      <c r="V191" s="5"/>
    </row>
    <row r="192" ht="15.75" customHeight="1">
      <c r="D192" s="3"/>
      <c r="M192" s="4"/>
      <c r="N192" s="5"/>
      <c r="S192" s="4"/>
      <c r="T192" s="5"/>
      <c r="V192" s="5"/>
    </row>
    <row r="193" ht="15.75" customHeight="1">
      <c r="D193" s="3"/>
      <c r="M193" s="4"/>
      <c r="N193" s="5"/>
      <c r="S193" s="4"/>
      <c r="T193" s="5"/>
      <c r="V193" s="5"/>
    </row>
    <row r="194" ht="15.75" customHeight="1">
      <c r="D194" s="3"/>
      <c r="M194" s="4"/>
      <c r="N194" s="5"/>
      <c r="S194" s="4"/>
      <c r="T194" s="5"/>
      <c r="V194" s="5"/>
    </row>
    <row r="195" ht="15.75" customHeight="1">
      <c r="D195" s="3"/>
      <c r="M195" s="4"/>
      <c r="N195" s="5"/>
      <c r="S195" s="4"/>
      <c r="T195" s="5"/>
      <c r="V195" s="5"/>
    </row>
    <row r="196" ht="15.75" customHeight="1">
      <c r="D196" s="3"/>
      <c r="M196" s="4"/>
      <c r="N196" s="5"/>
      <c r="S196" s="4"/>
      <c r="T196" s="5"/>
      <c r="V196" s="5"/>
    </row>
    <row r="197" ht="15.75" customHeight="1">
      <c r="D197" s="3"/>
      <c r="M197" s="4"/>
      <c r="N197" s="5"/>
      <c r="S197" s="4"/>
      <c r="T197" s="5"/>
      <c r="V197" s="5"/>
    </row>
    <row r="198" ht="15.75" customHeight="1">
      <c r="D198" s="3"/>
      <c r="M198" s="4"/>
      <c r="N198" s="5"/>
      <c r="S198" s="4"/>
      <c r="T198" s="5"/>
      <c r="V198" s="5"/>
    </row>
    <row r="199" ht="15.75" customHeight="1">
      <c r="D199" s="3"/>
      <c r="M199" s="4"/>
      <c r="N199" s="5"/>
      <c r="S199" s="4"/>
      <c r="T199" s="5"/>
      <c r="V199" s="5"/>
    </row>
    <row r="200" ht="15.75" customHeight="1">
      <c r="D200" s="3"/>
      <c r="M200" s="4"/>
      <c r="N200" s="5"/>
      <c r="S200" s="4"/>
      <c r="T200" s="5"/>
      <c r="V200" s="5"/>
    </row>
    <row r="201" ht="15.75" customHeight="1">
      <c r="D201" s="3"/>
      <c r="M201" s="4"/>
      <c r="N201" s="5"/>
      <c r="S201" s="4"/>
      <c r="T201" s="5"/>
      <c r="V201" s="5"/>
    </row>
    <row r="202" ht="15.75" customHeight="1">
      <c r="D202" s="3"/>
      <c r="M202" s="4"/>
      <c r="N202" s="5"/>
      <c r="S202" s="4"/>
      <c r="T202" s="5"/>
      <c r="V202" s="5"/>
    </row>
    <row r="203" ht="15.75" customHeight="1">
      <c r="D203" s="3"/>
      <c r="M203" s="4"/>
      <c r="N203" s="5"/>
      <c r="S203" s="4"/>
      <c r="T203" s="5"/>
      <c r="V203" s="5"/>
    </row>
    <row r="204" ht="15.75" customHeight="1">
      <c r="D204" s="3"/>
      <c r="M204" s="4"/>
      <c r="N204" s="5"/>
      <c r="S204" s="4"/>
      <c r="T204" s="5"/>
      <c r="V204" s="5"/>
    </row>
    <row r="205" ht="15.75" customHeight="1">
      <c r="D205" s="3"/>
      <c r="M205" s="4"/>
      <c r="N205" s="5"/>
      <c r="S205" s="4"/>
      <c r="T205" s="5"/>
      <c r="V205" s="5"/>
    </row>
    <row r="206" ht="15.75" customHeight="1">
      <c r="D206" s="3"/>
      <c r="M206" s="4"/>
      <c r="N206" s="5"/>
      <c r="S206" s="4"/>
      <c r="T206" s="5"/>
      <c r="V206" s="5"/>
    </row>
    <row r="207" ht="15.75" customHeight="1">
      <c r="D207" s="3"/>
      <c r="M207" s="4"/>
      <c r="N207" s="5"/>
      <c r="S207" s="4"/>
      <c r="T207" s="5"/>
      <c r="V207" s="5"/>
    </row>
    <row r="208" ht="15.75" customHeight="1">
      <c r="D208" s="3"/>
      <c r="M208" s="4"/>
      <c r="N208" s="5"/>
      <c r="S208" s="4"/>
      <c r="T208" s="5"/>
      <c r="V208" s="5"/>
    </row>
    <row r="209" ht="15.75" customHeight="1">
      <c r="D209" s="3"/>
      <c r="M209" s="4"/>
      <c r="N209" s="5"/>
      <c r="S209" s="4"/>
      <c r="T209" s="5"/>
      <c r="V209" s="5"/>
    </row>
    <row r="210" ht="15.75" customHeight="1">
      <c r="D210" s="3"/>
      <c r="M210" s="4"/>
      <c r="N210" s="5"/>
      <c r="S210" s="4"/>
      <c r="T210" s="5"/>
      <c r="V210" s="5"/>
    </row>
    <row r="211" ht="15.75" customHeight="1">
      <c r="D211" s="3"/>
      <c r="M211" s="4"/>
      <c r="N211" s="5"/>
      <c r="S211" s="4"/>
      <c r="T211" s="5"/>
      <c r="V211" s="5"/>
    </row>
    <row r="212" ht="15.75" customHeight="1">
      <c r="D212" s="3"/>
      <c r="M212" s="4"/>
      <c r="N212" s="5"/>
      <c r="S212" s="4"/>
      <c r="T212" s="5"/>
      <c r="V212" s="5"/>
    </row>
    <row r="213" ht="15.75" customHeight="1">
      <c r="D213" s="3"/>
      <c r="M213" s="4"/>
      <c r="N213" s="5"/>
      <c r="S213" s="4"/>
      <c r="T213" s="5"/>
      <c r="V213" s="5"/>
    </row>
    <row r="214" ht="15.75" customHeight="1">
      <c r="D214" s="3"/>
      <c r="M214" s="4"/>
      <c r="N214" s="5"/>
      <c r="S214" s="4"/>
      <c r="T214" s="5"/>
      <c r="V214" s="5"/>
    </row>
    <row r="215" ht="15.75" customHeight="1">
      <c r="D215" s="3"/>
      <c r="M215" s="4"/>
      <c r="N215" s="5"/>
      <c r="S215" s="4"/>
      <c r="T215" s="5"/>
      <c r="V215" s="5"/>
    </row>
    <row r="216" ht="15.75" customHeight="1">
      <c r="D216" s="3"/>
      <c r="M216" s="4"/>
      <c r="N216" s="5"/>
      <c r="S216" s="4"/>
      <c r="T216" s="5"/>
      <c r="V216" s="5"/>
    </row>
    <row r="217" ht="15.75" customHeight="1">
      <c r="D217" s="3"/>
      <c r="M217" s="4"/>
      <c r="N217" s="5"/>
      <c r="S217" s="4"/>
      <c r="T217" s="5"/>
      <c r="V217" s="5"/>
    </row>
    <row r="218" ht="15.75" customHeight="1">
      <c r="D218" s="3"/>
      <c r="M218" s="4"/>
      <c r="N218" s="5"/>
      <c r="S218" s="4"/>
      <c r="T218" s="5"/>
      <c r="V218" s="5"/>
    </row>
    <row r="219" ht="15.75" customHeight="1">
      <c r="D219" s="3"/>
      <c r="M219" s="4"/>
      <c r="N219" s="5"/>
      <c r="S219" s="4"/>
      <c r="T219" s="5"/>
      <c r="V219" s="5"/>
    </row>
    <row r="220" ht="15.75" customHeight="1">
      <c r="D220" s="3"/>
      <c r="M220" s="4"/>
      <c r="N220" s="5"/>
      <c r="S220" s="4"/>
      <c r="T220" s="5"/>
      <c r="V220" s="5"/>
    </row>
    <row r="221" ht="15.75" customHeight="1">
      <c r="D221" s="3"/>
      <c r="M221" s="4"/>
      <c r="N221" s="5"/>
      <c r="S221" s="4"/>
      <c r="T221" s="5"/>
      <c r="V221" s="5"/>
    </row>
    <row r="222" ht="15.75" customHeight="1">
      <c r="D222" s="3"/>
      <c r="M222" s="4"/>
      <c r="N222" s="5"/>
      <c r="S222" s="4"/>
      <c r="T222" s="5"/>
      <c r="V222" s="5"/>
    </row>
    <row r="223" ht="15.75" customHeight="1">
      <c r="D223" s="3"/>
      <c r="M223" s="4"/>
      <c r="N223" s="5"/>
      <c r="S223" s="4"/>
      <c r="T223" s="5"/>
      <c r="V223" s="5"/>
    </row>
    <row r="224" ht="15.75" customHeight="1">
      <c r="D224" s="3"/>
      <c r="M224" s="4"/>
      <c r="N224" s="5"/>
      <c r="S224" s="4"/>
      <c r="T224" s="5"/>
      <c r="V224" s="5"/>
    </row>
    <row r="225" ht="15.75" customHeight="1">
      <c r="D225" s="3"/>
      <c r="M225" s="4"/>
      <c r="N225" s="5"/>
      <c r="S225" s="4"/>
      <c r="T225" s="5"/>
      <c r="V225" s="5"/>
    </row>
    <row r="226" ht="15.0" customHeight="1">
      <c r="D226" s="3"/>
      <c r="M226" s="4"/>
      <c r="N226" s="5"/>
      <c r="S226" s="4"/>
      <c r="T226" s="5"/>
      <c r="V226" s="5"/>
    </row>
    <row r="227" ht="30.75" customHeight="1">
      <c r="D227" s="3"/>
      <c r="M227" s="4"/>
      <c r="N227" s="5"/>
      <c r="S227" s="4"/>
      <c r="T227" s="5"/>
      <c r="V227" s="5"/>
    </row>
    <row r="228" ht="30.0" customHeight="1">
      <c r="D228" s="3"/>
      <c r="M228" s="4"/>
      <c r="N228" s="5"/>
      <c r="S228" s="4"/>
      <c r="T228" s="5"/>
      <c r="V228" s="5"/>
    </row>
    <row r="229" ht="15.75" customHeight="1">
      <c r="D229" s="3"/>
      <c r="M229" s="4"/>
      <c r="N229" s="5"/>
      <c r="S229" s="4"/>
      <c r="T229" s="5"/>
      <c r="V229" s="5"/>
    </row>
    <row r="230" ht="15.75" customHeight="1">
      <c r="D230" s="3"/>
      <c r="M230" s="4"/>
      <c r="N230" s="5"/>
      <c r="S230" s="4"/>
      <c r="T230" s="5"/>
      <c r="V230" s="5"/>
    </row>
    <row r="231" ht="15.75" customHeight="1">
      <c r="D231" s="3"/>
      <c r="M231" s="4"/>
      <c r="N231" s="5"/>
      <c r="S231" s="4"/>
      <c r="T231" s="5"/>
      <c r="V231" s="5"/>
    </row>
    <row r="232" ht="15.75" customHeight="1">
      <c r="D232" s="3"/>
      <c r="M232" s="4"/>
      <c r="N232" s="5"/>
      <c r="S232" s="4"/>
      <c r="T232" s="5"/>
      <c r="V232" s="5"/>
    </row>
    <row r="233" ht="15.75" customHeight="1">
      <c r="D233" s="3"/>
      <c r="M233" s="4"/>
      <c r="N233" s="5"/>
      <c r="S233" s="4"/>
      <c r="T233" s="5"/>
      <c r="V233" s="5"/>
    </row>
    <row r="234" ht="15.75" customHeight="1">
      <c r="D234" s="3"/>
      <c r="M234" s="4"/>
      <c r="N234" s="5"/>
      <c r="S234" s="4"/>
      <c r="T234" s="5"/>
      <c r="V234" s="5"/>
    </row>
    <row r="235" ht="15.75" customHeight="1">
      <c r="D235" s="3"/>
      <c r="M235" s="4"/>
      <c r="N235" s="5"/>
      <c r="S235" s="4"/>
      <c r="T235" s="5"/>
      <c r="V235" s="5"/>
    </row>
    <row r="236" ht="15.75" customHeight="1">
      <c r="D236" s="3"/>
      <c r="M236" s="4"/>
      <c r="N236" s="5"/>
      <c r="S236" s="4"/>
      <c r="T236" s="5"/>
      <c r="V236" s="5"/>
    </row>
    <row r="237" ht="15.75" customHeight="1">
      <c r="D237" s="3"/>
      <c r="M237" s="4"/>
      <c r="N237" s="5"/>
      <c r="S237" s="4"/>
      <c r="T237" s="5"/>
      <c r="V237" s="5"/>
    </row>
    <row r="238" ht="15.75" customHeight="1">
      <c r="D238" s="3"/>
      <c r="M238" s="4"/>
      <c r="N238" s="5"/>
      <c r="S238" s="4"/>
      <c r="T238" s="5"/>
      <c r="V238" s="5"/>
    </row>
    <row r="239" ht="15.75" customHeight="1">
      <c r="D239" s="3"/>
      <c r="M239" s="4"/>
      <c r="N239" s="5"/>
      <c r="S239" s="4"/>
      <c r="T239" s="5"/>
      <c r="V239" s="5"/>
    </row>
    <row r="240" ht="15.75" customHeight="1">
      <c r="D240" s="3"/>
      <c r="M240" s="4"/>
      <c r="N240" s="5"/>
      <c r="S240" s="4"/>
      <c r="T240" s="5"/>
      <c r="V240" s="5"/>
    </row>
    <row r="241" ht="60.75" customHeight="1">
      <c r="D241" s="3"/>
      <c r="M241" s="4"/>
      <c r="N241" s="5"/>
      <c r="S241" s="4"/>
      <c r="T241" s="5"/>
      <c r="V241" s="5"/>
    </row>
    <row r="242" ht="15.75" customHeight="1">
      <c r="D242" s="3"/>
      <c r="M242" s="4"/>
      <c r="N242" s="5"/>
      <c r="S242" s="4"/>
      <c r="T242" s="5"/>
      <c r="V242" s="5"/>
    </row>
    <row r="243" ht="15.75" customHeight="1">
      <c r="D243" s="3"/>
      <c r="M243" s="4"/>
      <c r="N243" s="5"/>
      <c r="S243" s="4"/>
      <c r="T243" s="5"/>
      <c r="V243" s="5"/>
    </row>
    <row r="244" ht="15.75" customHeight="1">
      <c r="D244" s="3"/>
      <c r="M244" s="4"/>
      <c r="N244" s="5"/>
      <c r="S244" s="4"/>
      <c r="T244" s="5"/>
      <c r="V244" s="5"/>
    </row>
    <row r="245" ht="15.75" customHeight="1">
      <c r="D245" s="3"/>
      <c r="M245" s="4"/>
      <c r="N245" s="5"/>
      <c r="S245" s="4"/>
      <c r="T245" s="5"/>
      <c r="V245" s="5"/>
    </row>
    <row r="246" ht="15.75" customHeight="1">
      <c r="D246" s="3"/>
      <c r="M246" s="4"/>
      <c r="N246" s="5"/>
      <c r="S246" s="4"/>
      <c r="T246" s="5"/>
      <c r="V246" s="5"/>
    </row>
    <row r="247" ht="15.75" customHeight="1">
      <c r="D247" s="3"/>
      <c r="M247" s="4"/>
      <c r="N247" s="5"/>
      <c r="S247" s="4"/>
      <c r="T247" s="5"/>
      <c r="V247" s="5"/>
    </row>
    <row r="248" ht="15.75" customHeight="1">
      <c r="D248" s="3"/>
      <c r="M248" s="4"/>
      <c r="N248" s="5"/>
      <c r="S248" s="4"/>
      <c r="T248" s="5"/>
      <c r="V248" s="5"/>
    </row>
    <row r="249" ht="15.75" customHeight="1">
      <c r="D249" s="3"/>
      <c r="M249" s="4"/>
      <c r="N249" s="5"/>
      <c r="S249" s="4"/>
      <c r="T249" s="5"/>
      <c r="V249" s="5"/>
    </row>
    <row r="250" ht="15.75" customHeight="1">
      <c r="D250" s="3"/>
      <c r="M250" s="4"/>
      <c r="N250" s="5"/>
      <c r="S250" s="4"/>
      <c r="T250" s="5"/>
      <c r="V250" s="5"/>
    </row>
    <row r="251" ht="15.75" customHeight="1">
      <c r="D251" s="3"/>
      <c r="M251" s="4"/>
      <c r="N251" s="5"/>
      <c r="S251" s="4"/>
      <c r="T251" s="5"/>
      <c r="V251" s="5"/>
    </row>
    <row r="252" ht="15.75" customHeight="1">
      <c r="D252" s="3"/>
      <c r="M252" s="4"/>
      <c r="N252" s="5"/>
      <c r="S252" s="4"/>
      <c r="T252" s="5"/>
      <c r="V252" s="5"/>
    </row>
    <row r="253" ht="15.75" customHeight="1">
      <c r="D253" s="3"/>
      <c r="M253" s="4"/>
      <c r="N253" s="5"/>
      <c r="S253" s="4"/>
      <c r="T253" s="5"/>
      <c r="V253" s="5"/>
    </row>
    <row r="254" ht="15.75" customHeight="1">
      <c r="D254" s="3"/>
      <c r="M254" s="4"/>
      <c r="N254" s="5"/>
      <c r="S254" s="4"/>
      <c r="T254" s="5"/>
      <c r="V254" s="5"/>
    </row>
    <row r="255" ht="15.75" customHeight="1">
      <c r="D255" s="3"/>
      <c r="M255" s="4"/>
      <c r="N255" s="5"/>
      <c r="S255" s="4"/>
      <c r="T255" s="5"/>
      <c r="V255" s="5"/>
    </row>
    <row r="256" ht="15.75" customHeight="1">
      <c r="D256" s="3"/>
      <c r="M256" s="4"/>
      <c r="N256" s="5"/>
      <c r="S256" s="4"/>
      <c r="T256" s="5"/>
      <c r="V256" s="5"/>
    </row>
    <row r="257" ht="15.75" customHeight="1">
      <c r="D257" s="3"/>
      <c r="M257" s="4"/>
      <c r="N257" s="5"/>
      <c r="S257" s="4"/>
      <c r="T257" s="5"/>
      <c r="V257" s="5"/>
    </row>
    <row r="258" ht="15.75" customHeight="1">
      <c r="D258" s="3"/>
      <c r="M258" s="4"/>
      <c r="N258" s="5"/>
      <c r="S258" s="4"/>
      <c r="T258" s="5"/>
      <c r="V258" s="5"/>
    </row>
    <row r="259" ht="15.75" customHeight="1">
      <c r="D259" s="3"/>
      <c r="M259" s="4"/>
      <c r="N259" s="5"/>
      <c r="S259" s="4"/>
      <c r="T259" s="5"/>
      <c r="V259" s="5"/>
    </row>
    <row r="260" ht="15.75" customHeight="1">
      <c r="D260" s="3"/>
      <c r="M260" s="4"/>
      <c r="N260" s="5"/>
      <c r="S260" s="4"/>
      <c r="T260" s="5"/>
      <c r="V260" s="5"/>
    </row>
    <row r="261" ht="15.75" customHeight="1">
      <c r="D261" s="3"/>
      <c r="M261" s="4"/>
      <c r="N261" s="5"/>
      <c r="S261" s="4"/>
      <c r="T261" s="5"/>
      <c r="V261" s="5"/>
    </row>
    <row r="262" ht="15.75" customHeight="1">
      <c r="D262" s="3"/>
      <c r="M262" s="4"/>
      <c r="N262" s="5"/>
      <c r="S262" s="4"/>
      <c r="T262" s="5"/>
      <c r="V262" s="5"/>
    </row>
    <row r="263" ht="15.75" customHeight="1">
      <c r="D263" s="3"/>
      <c r="M263" s="4"/>
      <c r="N263" s="5"/>
      <c r="S263" s="4"/>
      <c r="T263" s="5"/>
      <c r="V263" s="5"/>
    </row>
    <row r="264" ht="15.75" customHeight="1">
      <c r="D264" s="3"/>
      <c r="M264" s="4"/>
      <c r="N264" s="5"/>
      <c r="S264" s="4"/>
      <c r="T264" s="5"/>
      <c r="V264" s="5"/>
    </row>
    <row r="265" ht="15.75" customHeight="1">
      <c r="D265" s="3"/>
      <c r="M265" s="4"/>
      <c r="N265" s="5"/>
      <c r="S265" s="4"/>
      <c r="T265" s="5"/>
      <c r="V265" s="5"/>
    </row>
    <row r="266" ht="15.75" customHeight="1">
      <c r="D266" s="3"/>
      <c r="M266" s="4"/>
      <c r="N266" s="5"/>
      <c r="S266" s="4"/>
      <c r="T266" s="5"/>
      <c r="V266" s="5"/>
    </row>
    <row r="267" ht="15.75" customHeight="1">
      <c r="D267" s="3"/>
      <c r="M267" s="4"/>
      <c r="N267" s="5"/>
      <c r="S267" s="4"/>
      <c r="T267" s="5"/>
      <c r="V267" s="5"/>
    </row>
    <row r="268" ht="15.75" customHeight="1">
      <c r="D268" s="3"/>
      <c r="M268" s="4"/>
      <c r="N268" s="5"/>
      <c r="S268" s="4"/>
      <c r="T268" s="5"/>
      <c r="V268" s="5"/>
    </row>
    <row r="269" ht="15.75" customHeight="1">
      <c r="D269" s="3"/>
      <c r="M269" s="4"/>
      <c r="N269" s="5"/>
      <c r="S269" s="4"/>
      <c r="T269" s="5"/>
      <c r="V269" s="5"/>
    </row>
    <row r="270" ht="15.75" customHeight="1">
      <c r="D270" s="3"/>
      <c r="M270" s="4"/>
      <c r="N270" s="5"/>
      <c r="S270" s="4"/>
      <c r="T270" s="5"/>
      <c r="V270" s="5"/>
    </row>
    <row r="271" ht="15.75" customHeight="1">
      <c r="D271" s="3"/>
      <c r="M271" s="4"/>
      <c r="N271" s="5"/>
      <c r="S271" s="4"/>
      <c r="T271" s="5"/>
      <c r="V271" s="5"/>
    </row>
    <row r="272" ht="15.75" customHeight="1">
      <c r="D272" s="3"/>
      <c r="M272" s="4"/>
      <c r="N272" s="5"/>
      <c r="S272" s="4"/>
      <c r="T272" s="5"/>
      <c r="V272" s="5"/>
    </row>
    <row r="273" ht="15.75" customHeight="1">
      <c r="D273" s="3"/>
      <c r="M273" s="4"/>
      <c r="N273" s="5"/>
      <c r="S273" s="4"/>
      <c r="T273" s="5"/>
      <c r="V273" s="5"/>
    </row>
    <row r="274" ht="15.75" customHeight="1">
      <c r="D274" s="3"/>
      <c r="M274" s="4"/>
      <c r="N274" s="5"/>
      <c r="S274" s="4"/>
      <c r="T274" s="5"/>
      <c r="V274" s="5"/>
    </row>
    <row r="275" ht="15.75" customHeight="1">
      <c r="D275" s="3"/>
      <c r="M275" s="4"/>
      <c r="N275" s="5"/>
      <c r="S275" s="4"/>
      <c r="T275" s="5"/>
      <c r="V275" s="5"/>
    </row>
    <row r="276" ht="15.75" customHeight="1">
      <c r="D276" s="3"/>
      <c r="M276" s="4"/>
      <c r="N276" s="5"/>
      <c r="S276" s="4"/>
      <c r="T276" s="5"/>
      <c r="V276" s="5"/>
    </row>
    <row r="277" ht="15.75" customHeight="1">
      <c r="D277" s="3"/>
      <c r="M277" s="4"/>
      <c r="N277" s="5"/>
      <c r="S277" s="4"/>
      <c r="T277" s="5"/>
      <c r="V277" s="5"/>
    </row>
    <row r="278" ht="15.75" customHeight="1">
      <c r="D278" s="3"/>
      <c r="M278" s="4"/>
      <c r="N278" s="5"/>
      <c r="S278" s="4"/>
      <c r="T278" s="5"/>
      <c r="V278" s="5"/>
    </row>
    <row r="279" ht="15.75" customHeight="1">
      <c r="D279" s="3"/>
      <c r="M279" s="4"/>
      <c r="N279" s="5"/>
      <c r="S279" s="4"/>
      <c r="T279" s="5"/>
      <c r="V279" s="5"/>
    </row>
    <row r="280" ht="15.75" customHeight="1">
      <c r="D280" s="3"/>
      <c r="M280" s="4"/>
      <c r="N280" s="5"/>
      <c r="S280" s="4"/>
      <c r="T280" s="5"/>
      <c r="V280" s="5"/>
    </row>
    <row r="281" ht="15.75" customHeight="1">
      <c r="D281" s="3"/>
      <c r="M281" s="4"/>
      <c r="N281" s="5"/>
      <c r="S281" s="4"/>
      <c r="T281" s="5"/>
      <c r="V281" s="5"/>
    </row>
    <row r="282" ht="15.75" customHeight="1">
      <c r="D282" s="3"/>
      <c r="M282" s="4"/>
      <c r="N282" s="5"/>
      <c r="S282" s="4"/>
      <c r="T282" s="5"/>
      <c r="V282" s="5"/>
    </row>
    <row r="283" ht="15.75" customHeight="1">
      <c r="D283" s="3"/>
      <c r="M283" s="4"/>
      <c r="N283" s="5"/>
      <c r="S283" s="4"/>
      <c r="T283" s="5"/>
      <c r="V283" s="5"/>
    </row>
    <row r="284" ht="15.75" customHeight="1">
      <c r="D284" s="3"/>
      <c r="M284" s="4"/>
      <c r="N284" s="5"/>
      <c r="S284" s="4"/>
      <c r="T284" s="5"/>
      <c r="V284" s="5"/>
    </row>
    <row r="285" ht="15.75" customHeight="1">
      <c r="D285" s="3"/>
      <c r="M285" s="4"/>
      <c r="N285" s="5"/>
      <c r="S285" s="4"/>
      <c r="T285" s="5"/>
      <c r="V285" s="5"/>
    </row>
    <row r="286" ht="15.75" customHeight="1">
      <c r="D286" s="3"/>
      <c r="M286" s="4"/>
      <c r="N286" s="5"/>
      <c r="S286" s="4"/>
      <c r="T286" s="5"/>
      <c r="V286" s="5"/>
    </row>
    <row r="287" ht="15.75" customHeight="1">
      <c r="D287" s="3"/>
      <c r="M287" s="4"/>
      <c r="N287" s="5"/>
      <c r="S287" s="4"/>
      <c r="T287" s="5"/>
      <c r="V287" s="5"/>
    </row>
    <row r="288" ht="15.75" customHeight="1">
      <c r="D288" s="3"/>
      <c r="M288" s="4"/>
      <c r="N288" s="5"/>
      <c r="S288" s="4"/>
      <c r="T288" s="5"/>
      <c r="V288" s="5"/>
    </row>
    <row r="289" ht="15.75" customHeight="1">
      <c r="D289" s="3"/>
      <c r="M289" s="4"/>
      <c r="N289" s="5"/>
      <c r="S289" s="4"/>
      <c r="T289" s="5"/>
      <c r="V289" s="5"/>
    </row>
    <row r="290" ht="15.75" customHeight="1">
      <c r="D290" s="3"/>
      <c r="M290" s="4"/>
      <c r="N290" s="5"/>
      <c r="S290" s="4"/>
      <c r="T290" s="5"/>
      <c r="V290" s="5"/>
    </row>
    <row r="291" ht="15.75" customHeight="1">
      <c r="D291" s="3"/>
      <c r="M291" s="4"/>
      <c r="N291" s="5"/>
      <c r="S291" s="4"/>
      <c r="T291" s="5"/>
      <c r="V291" s="5"/>
    </row>
    <row r="292" ht="15.75" customHeight="1">
      <c r="D292" s="3"/>
      <c r="M292" s="4"/>
      <c r="N292" s="5"/>
      <c r="S292" s="4"/>
      <c r="T292" s="5"/>
      <c r="V292" s="5"/>
    </row>
    <row r="293" ht="15.75" customHeight="1">
      <c r="D293" s="3"/>
      <c r="M293" s="4"/>
      <c r="N293" s="5"/>
      <c r="S293" s="4"/>
      <c r="T293" s="5"/>
      <c r="V293" s="5"/>
    </row>
    <row r="294" ht="15.75" customHeight="1">
      <c r="D294" s="3"/>
      <c r="M294" s="4"/>
      <c r="N294" s="5"/>
      <c r="S294" s="4"/>
      <c r="T294" s="5"/>
      <c r="V294" s="5"/>
    </row>
    <row r="295" ht="15.75" customHeight="1">
      <c r="D295" s="3"/>
      <c r="M295" s="4"/>
      <c r="N295" s="5"/>
      <c r="S295" s="4"/>
      <c r="T295" s="5"/>
      <c r="V295" s="5"/>
    </row>
    <row r="296" ht="15.75" customHeight="1">
      <c r="D296" s="3"/>
      <c r="M296" s="4"/>
      <c r="N296" s="5"/>
      <c r="S296" s="4"/>
      <c r="T296" s="5"/>
      <c r="V296" s="5"/>
    </row>
    <row r="297" ht="15.75" customHeight="1">
      <c r="D297" s="3"/>
      <c r="M297" s="4"/>
      <c r="N297" s="5"/>
      <c r="S297" s="4"/>
      <c r="T297" s="5"/>
      <c r="V297" s="5"/>
    </row>
    <row r="298" ht="15.75" customHeight="1">
      <c r="D298" s="3"/>
      <c r="M298" s="4"/>
      <c r="N298" s="5"/>
      <c r="S298" s="4"/>
      <c r="T298" s="5"/>
      <c r="V298" s="5"/>
    </row>
    <row r="299" ht="15.75" customHeight="1">
      <c r="D299" s="3"/>
      <c r="M299" s="4"/>
      <c r="N299" s="5"/>
      <c r="S299" s="4"/>
      <c r="T299" s="5"/>
      <c r="V299" s="5"/>
    </row>
    <row r="300" ht="15.75" customHeight="1">
      <c r="D300" s="3"/>
      <c r="M300" s="4"/>
      <c r="N300" s="5"/>
      <c r="S300" s="4"/>
      <c r="T300" s="5"/>
      <c r="V300" s="5"/>
    </row>
    <row r="301" ht="15.75" customHeight="1">
      <c r="D301" s="3"/>
      <c r="M301" s="4"/>
      <c r="N301" s="5"/>
      <c r="S301" s="4"/>
      <c r="T301" s="5"/>
      <c r="V301" s="5"/>
    </row>
    <row r="302" ht="15.75" customHeight="1">
      <c r="D302" s="3"/>
      <c r="M302" s="4"/>
      <c r="N302" s="5"/>
      <c r="S302" s="4"/>
      <c r="T302" s="5"/>
      <c r="V302" s="5"/>
    </row>
    <row r="303" ht="15.75" customHeight="1">
      <c r="D303" s="3"/>
      <c r="M303" s="4"/>
      <c r="N303" s="5"/>
      <c r="S303" s="4"/>
      <c r="T303" s="5"/>
      <c r="V303" s="5"/>
    </row>
    <row r="304" ht="15.75" customHeight="1">
      <c r="D304" s="3"/>
      <c r="M304" s="4"/>
      <c r="N304" s="5"/>
      <c r="S304" s="4"/>
      <c r="T304" s="5"/>
      <c r="V304" s="5"/>
    </row>
    <row r="305" ht="15.75" customHeight="1">
      <c r="D305" s="3"/>
      <c r="M305" s="4"/>
      <c r="N305" s="5"/>
      <c r="S305" s="4"/>
      <c r="T305" s="5"/>
      <c r="V305" s="5"/>
    </row>
    <row r="306" ht="15.75" customHeight="1">
      <c r="D306" s="3"/>
      <c r="M306" s="4"/>
      <c r="N306" s="5"/>
      <c r="S306" s="4"/>
      <c r="T306" s="5"/>
      <c r="V306" s="5"/>
    </row>
    <row r="307" ht="15.75" customHeight="1">
      <c r="D307" s="3"/>
      <c r="M307" s="4"/>
      <c r="N307" s="5"/>
      <c r="S307" s="4"/>
      <c r="T307" s="5"/>
      <c r="V307" s="5"/>
    </row>
    <row r="308" ht="15.75" customHeight="1">
      <c r="D308" s="3"/>
      <c r="M308" s="4"/>
      <c r="N308" s="5"/>
      <c r="S308" s="4"/>
      <c r="T308" s="5"/>
      <c r="V308" s="5"/>
    </row>
    <row r="309" ht="15.75" customHeight="1">
      <c r="D309" s="3"/>
      <c r="M309" s="4"/>
      <c r="N309" s="5"/>
      <c r="S309" s="4"/>
      <c r="T309" s="5"/>
      <c r="V309" s="5"/>
    </row>
    <row r="310" ht="15.75" customHeight="1">
      <c r="D310" s="3"/>
      <c r="M310" s="4"/>
      <c r="N310" s="5"/>
      <c r="S310" s="4"/>
      <c r="T310" s="5"/>
      <c r="V310" s="5"/>
    </row>
    <row r="311" ht="15.75" customHeight="1">
      <c r="D311" s="3"/>
      <c r="M311" s="4"/>
      <c r="N311" s="5"/>
      <c r="S311" s="4"/>
      <c r="T311" s="5"/>
      <c r="V311" s="5"/>
    </row>
    <row r="312" ht="15.75" customHeight="1">
      <c r="D312" s="3"/>
      <c r="M312" s="4"/>
      <c r="N312" s="5"/>
      <c r="S312" s="4"/>
      <c r="T312" s="5"/>
      <c r="V312" s="5"/>
    </row>
    <row r="313" ht="15.75" customHeight="1">
      <c r="D313" s="3"/>
      <c r="M313" s="4"/>
      <c r="N313" s="5"/>
      <c r="S313" s="4"/>
      <c r="T313" s="5"/>
      <c r="V313" s="5"/>
    </row>
    <row r="314" ht="15.75" customHeight="1">
      <c r="D314" s="3"/>
      <c r="M314" s="4"/>
      <c r="N314" s="5"/>
      <c r="S314" s="4"/>
      <c r="T314" s="5"/>
      <c r="V314" s="5"/>
    </row>
    <row r="315" ht="15.75" customHeight="1">
      <c r="D315" s="3"/>
      <c r="M315" s="4"/>
      <c r="N315" s="5"/>
      <c r="S315" s="4"/>
      <c r="T315" s="5"/>
      <c r="V315" s="5"/>
    </row>
    <row r="316" ht="15.75" customHeight="1">
      <c r="D316" s="3"/>
      <c r="M316" s="4"/>
      <c r="N316" s="5"/>
      <c r="S316" s="4"/>
      <c r="T316" s="5"/>
      <c r="V316" s="5"/>
    </row>
    <row r="317" ht="15.75" customHeight="1">
      <c r="D317" s="3"/>
      <c r="M317" s="4"/>
      <c r="N317" s="5"/>
      <c r="S317" s="4"/>
      <c r="T317" s="5"/>
      <c r="V317" s="5"/>
    </row>
    <row r="318" ht="15.75" customHeight="1">
      <c r="D318" s="3"/>
      <c r="M318" s="4"/>
      <c r="N318" s="5"/>
      <c r="S318" s="4"/>
      <c r="T318" s="5"/>
      <c r="V318" s="5"/>
    </row>
    <row r="319" ht="15.75" customHeight="1">
      <c r="D319" s="3"/>
      <c r="M319" s="4"/>
      <c r="N319" s="5"/>
      <c r="S319" s="4"/>
      <c r="T319" s="5"/>
      <c r="V319" s="5"/>
    </row>
    <row r="320" ht="15.75" customHeight="1">
      <c r="D320" s="3"/>
      <c r="M320" s="4"/>
      <c r="N320" s="5"/>
      <c r="S320" s="4"/>
      <c r="T320" s="5"/>
      <c r="V320" s="5"/>
    </row>
    <row r="321" ht="15.75" customHeight="1">
      <c r="D321" s="3"/>
      <c r="M321" s="4"/>
      <c r="N321" s="5"/>
      <c r="S321" s="4"/>
      <c r="T321" s="5"/>
      <c r="V321" s="5"/>
    </row>
    <row r="322" ht="15.75" customHeight="1">
      <c r="D322" s="3"/>
      <c r="M322" s="4"/>
      <c r="N322" s="5"/>
      <c r="S322" s="4"/>
      <c r="T322" s="5"/>
      <c r="V322" s="5"/>
    </row>
    <row r="323" ht="15.75" customHeight="1">
      <c r="D323" s="3"/>
      <c r="M323" s="4"/>
      <c r="N323" s="5"/>
      <c r="S323" s="4"/>
      <c r="T323" s="5"/>
      <c r="V323" s="5"/>
    </row>
    <row r="324" ht="15.75" customHeight="1">
      <c r="D324" s="3"/>
      <c r="M324" s="4"/>
      <c r="N324" s="5"/>
      <c r="S324" s="4"/>
      <c r="T324" s="5"/>
      <c r="V324" s="5"/>
    </row>
    <row r="325" ht="15.75" customHeight="1">
      <c r="D325" s="3"/>
      <c r="M325" s="4"/>
      <c r="N325" s="5"/>
      <c r="S325" s="4"/>
      <c r="T325" s="5"/>
      <c r="V325" s="5"/>
    </row>
    <row r="326" ht="15.75" customHeight="1">
      <c r="D326" s="3"/>
      <c r="M326" s="4"/>
      <c r="N326" s="5"/>
      <c r="S326" s="4"/>
      <c r="T326" s="5"/>
      <c r="V326" s="5"/>
    </row>
    <row r="327" ht="15.75" customHeight="1">
      <c r="D327" s="3"/>
      <c r="M327" s="4"/>
      <c r="N327" s="5"/>
      <c r="S327" s="4"/>
      <c r="T327" s="5"/>
      <c r="V327" s="5"/>
    </row>
    <row r="328" ht="15.75" customHeight="1">
      <c r="D328" s="3"/>
      <c r="M328" s="4"/>
      <c r="N328" s="5"/>
      <c r="S328" s="4"/>
      <c r="T328" s="5"/>
      <c r="V328" s="5"/>
    </row>
    <row r="329" ht="15.75" customHeight="1">
      <c r="D329" s="3"/>
      <c r="M329" s="4"/>
      <c r="N329" s="5"/>
      <c r="S329" s="4"/>
      <c r="T329" s="5"/>
      <c r="V329" s="5"/>
    </row>
    <row r="330" ht="15.75" customHeight="1">
      <c r="D330" s="3"/>
      <c r="M330" s="4"/>
      <c r="N330" s="5"/>
      <c r="S330" s="4"/>
      <c r="T330" s="5"/>
      <c r="V330" s="5"/>
    </row>
    <row r="331" ht="15.75" customHeight="1">
      <c r="D331" s="3"/>
      <c r="M331" s="4"/>
      <c r="N331" s="5"/>
      <c r="S331" s="4"/>
      <c r="T331" s="5"/>
      <c r="V331" s="5"/>
    </row>
    <row r="332" ht="15.75" customHeight="1">
      <c r="D332" s="3"/>
      <c r="M332" s="4"/>
      <c r="N332" s="5"/>
      <c r="S332" s="4"/>
      <c r="T332" s="5"/>
      <c r="V332" s="5"/>
    </row>
    <row r="333" ht="15.75" customHeight="1">
      <c r="D333" s="3"/>
      <c r="M333" s="4"/>
      <c r="N333" s="5"/>
      <c r="S333" s="4"/>
      <c r="T333" s="5"/>
      <c r="V333" s="5"/>
    </row>
    <row r="334" ht="15.75" customHeight="1">
      <c r="D334" s="3"/>
      <c r="M334" s="4"/>
      <c r="N334" s="5"/>
      <c r="S334" s="4"/>
      <c r="T334" s="5"/>
      <c r="V334" s="5"/>
    </row>
    <row r="335" ht="15.75" customHeight="1">
      <c r="D335" s="3"/>
      <c r="M335" s="4"/>
      <c r="N335" s="5"/>
      <c r="S335" s="4"/>
      <c r="T335" s="5"/>
      <c r="V335" s="5"/>
    </row>
    <row r="336" ht="15.75" customHeight="1">
      <c r="D336" s="3"/>
      <c r="M336" s="4"/>
      <c r="N336" s="5"/>
      <c r="S336" s="4"/>
      <c r="T336" s="5"/>
      <c r="V336" s="5"/>
    </row>
    <row r="337" ht="15.75" customHeight="1">
      <c r="D337" s="3"/>
      <c r="M337" s="4"/>
      <c r="N337" s="5"/>
      <c r="S337" s="4"/>
      <c r="T337" s="5"/>
      <c r="V337" s="5"/>
    </row>
    <row r="338" ht="15.75" customHeight="1">
      <c r="D338" s="3"/>
      <c r="M338" s="4"/>
      <c r="N338" s="5"/>
      <c r="S338" s="4"/>
      <c r="T338" s="5"/>
      <c r="V338" s="5"/>
    </row>
    <row r="339" ht="15.75" customHeight="1">
      <c r="D339" s="3"/>
      <c r="M339" s="4"/>
      <c r="N339" s="5"/>
      <c r="S339" s="4"/>
      <c r="T339" s="5"/>
      <c r="V339" s="5"/>
    </row>
    <row r="340" ht="15.75" customHeight="1">
      <c r="D340" s="3"/>
      <c r="M340" s="4"/>
      <c r="N340" s="5"/>
      <c r="S340" s="4"/>
      <c r="T340" s="5"/>
      <c r="V340" s="5"/>
    </row>
    <row r="341" ht="15.75" customHeight="1">
      <c r="D341" s="3"/>
      <c r="M341" s="4"/>
      <c r="N341" s="5"/>
      <c r="S341" s="4"/>
      <c r="T341" s="5"/>
      <c r="V341" s="5"/>
    </row>
    <row r="342" ht="15.75" customHeight="1">
      <c r="D342" s="3"/>
      <c r="M342" s="4"/>
      <c r="N342" s="5"/>
      <c r="S342" s="4"/>
      <c r="T342" s="5"/>
      <c r="V342" s="5"/>
    </row>
    <row r="343" ht="15.75" customHeight="1">
      <c r="D343" s="3"/>
      <c r="M343" s="4"/>
      <c r="N343" s="5"/>
      <c r="S343" s="4"/>
      <c r="T343" s="5"/>
      <c r="V343" s="5"/>
    </row>
    <row r="344" ht="15.75" customHeight="1">
      <c r="D344" s="3"/>
      <c r="M344" s="4"/>
      <c r="N344" s="5"/>
      <c r="S344" s="4"/>
      <c r="T344" s="5"/>
      <c r="V344" s="5"/>
    </row>
    <row r="345" ht="15.75" customHeight="1">
      <c r="D345" s="3"/>
      <c r="M345" s="4"/>
      <c r="N345" s="5"/>
      <c r="S345" s="4"/>
      <c r="T345" s="5"/>
      <c r="V345" s="5"/>
    </row>
    <row r="346" ht="15.75" customHeight="1">
      <c r="D346" s="3"/>
      <c r="M346" s="4"/>
      <c r="N346" s="5"/>
      <c r="S346" s="4"/>
      <c r="T346" s="5"/>
      <c r="V346" s="5"/>
    </row>
    <row r="347" ht="15.75" customHeight="1">
      <c r="D347" s="3"/>
      <c r="M347" s="4"/>
      <c r="N347" s="5"/>
      <c r="S347" s="4"/>
      <c r="T347" s="5"/>
      <c r="V347" s="5"/>
    </row>
    <row r="348" ht="15.75" customHeight="1">
      <c r="D348" s="3"/>
      <c r="M348" s="4"/>
      <c r="N348" s="5"/>
      <c r="S348" s="4"/>
      <c r="T348" s="5"/>
      <c r="V348" s="5"/>
    </row>
    <row r="349" ht="15.75" customHeight="1">
      <c r="D349" s="3"/>
      <c r="M349" s="4"/>
      <c r="N349" s="5"/>
      <c r="S349" s="4"/>
      <c r="T349" s="5"/>
      <c r="V349" s="5"/>
    </row>
    <row r="350" ht="15.75" customHeight="1">
      <c r="D350" s="3"/>
      <c r="M350" s="4"/>
      <c r="N350" s="5"/>
      <c r="S350" s="4"/>
      <c r="T350" s="5"/>
      <c r="V350" s="5"/>
    </row>
    <row r="351" ht="15.75" customHeight="1">
      <c r="D351" s="3"/>
      <c r="M351" s="4"/>
      <c r="N351" s="5"/>
      <c r="S351" s="4"/>
      <c r="T351" s="5"/>
      <c r="V351" s="5"/>
    </row>
    <row r="352" ht="15.75" customHeight="1">
      <c r="D352" s="3"/>
      <c r="M352" s="4"/>
      <c r="N352" s="5"/>
      <c r="S352" s="4"/>
      <c r="T352" s="5"/>
      <c r="V352" s="5"/>
    </row>
    <row r="353" ht="15.75" customHeight="1">
      <c r="D353" s="3"/>
      <c r="M353" s="4"/>
      <c r="N353" s="5"/>
      <c r="S353" s="4"/>
      <c r="T353" s="5"/>
      <c r="V353" s="5"/>
    </row>
    <row r="354" ht="15.75" customHeight="1">
      <c r="D354" s="3"/>
      <c r="M354" s="4"/>
      <c r="N354" s="5"/>
      <c r="S354" s="4"/>
      <c r="T354" s="5"/>
      <c r="V354" s="5"/>
    </row>
    <row r="355" ht="15.75" customHeight="1">
      <c r="D355" s="3"/>
      <c r="M355" s="4"/>
      <c r="N355" s="5"/>
      <c r="S355" s="4"/>
      <c r="T355" s="5"/>
      <c r="V355" s="5"/>
    </row>
    <row r="356" ht="15.75" customHeight="1">
      <c r="D356" s="3"/>
      <c r="M356" s="4"/>
      <c r="N356" s="5"/>
      <c r="S356" s="4"/>
      <c r="T356" s="5"/>
      <c r="V356" s="5"/>
    </row>
    <row r="357" ht="15.75" customHeight="1">
      <c r="D357" s="3"/>
      <c r="M357" s="4"/>
      <c r="N357" s="5"/>
      <c r="S357" s="4"/>
      <c r="T357" s="5"/>
      <c r="V357" s="5"/>
    </row>
    <row r="358" ht="15.75" customHeight="1">
      <c r="D358" s="3"/>
      <c r="M358" s="4"/>
      <c r="N358" s="5"/>
      <c r="S358" s="4"/>
      <c r="T358" s="5"/>
      <c r="V358" s="5"/>
    </row>
    <row r="359" ht="15.75" customHeight="1">
      <c r="D359" s="3"/>
      <c r="M359" s="4"/>
      <c r="N359" s="5"/>
      <c r="S359" s="4"/>
      <c r="T359" s="5"/>
      <c r="V359" s="5"/>
    </row>
    <row r="360" ht="15.75" customHeight="1">
      <c r="D360" s="3"/>
      <c r="M360" s="4"/>
      <c r="N360" s="5"/>
      <c r="S360" s="4"/>
      <c r="T360" s="5"/>
      <c r="V360" s="5"/>
    </row>
    <row r="361" ht="15.75" customHeight="1">
      <c r="D361" s="3"/>
      <c r="M361" s="4"/>
      <c r="N361" s="5"/>
      <c r="S361" s="4"/>
      <c r="T361" s="5"/>
      <c r="V361" s="5"/>
    </row>
    <row r="362" ht="15.75" customHeight="1">
      <c r="D362" s="3"/>
      <c r="M362" s="4"/>
      <c r="N362" s="5"/>
      <c r="S362" s="4"/>
      <c r="T362" s="5"/>
      <c r="V362" s="5"/>
    </row>
    <row r="363" ht="15.75" customHeight="1">
      <c r="D363" s="3"/>
      <c r="M363" s="4"/>
      <c r="N363" s="5"/>
      <c r="S363" s="4"/>
      <c r="T363" s="5"/>
      <c r="V363" s="5"/>
    </row>
    <row r="364" ht="15.75" customHeight="1">
      <c r="D364" s="3"/>
      <c r="M364" s="4"/>
      <c r="N364" s="5"/>
      <c r="S364" s="4"/>
      <c r="T364" s="5"/>
      <c r="V364" s="5"/>
    </row>
    <row r="365" ht="15.75" customHeight="1">
      <c r="D365" s="3"/>
      <c r="M365" s="4"/>
      <c r="N365" s="5"/>
      <c r="S365" s="4"/>
      <c r="T365" s="5"/>
      <c r="V365" s="5"/>
    </row>
    <row r="366" ht="15.75" customHeight="1">
      <c r="D366" s="3"/>
      <c r="M366" s="4"/>
      <c r="N366" s="5"/>
      <c r="S366" s="4"/>
      <c r="T366" s="5"/>
      <c r="V366" s="5"/>
    </row>
    <row r="367" ht="15.75" customHeight="1">
      <c r="D367" s="3"/>
      <c r="M367" s="4"/>
      <c r="N367" s="5"/>
      <c r="S367" s="4"/>
      <c r="T367" s="5"/>
      <c r="V367" s="5"/>
    </row>
    <row r="368" ht="15.75" customHeight="1">
      <c r="D368" s="3"/>
      <c r="M368" s="4"/>
      <c r="N368" s="5"/>
      <c r="S368" s="4"/>
      <c r="T368" s="5"/>
      <c r="V368" s="5"/>
    </row>
    <row r="369" ht="15.75" customHeight="1">
      <c r="D369" s="3"/>
      <c r="M369" s="4"/>
      <c r="N369" s="5"/>
      <c r="S369" s="4"/>
      <c r="T369" s="5"/>
      <c r="V369" s="5"/>
    </row>
    <row r="370" ht="15.75" customHeight="1">
      <c r="D370" s="3"/>
      <c r="M370" s="4"/>
      <c r="N370" s="5"/>
      <c r="S370" s="4"/>
      <c r="T370" s="5"/>
      <c r="V370" s="5"/>
    </row>
    <row r="371" ht="15.75" customHeight="1">
      <c r="D371" s="3"/>
      <c r="M371" s="4"/>
      <c r="N371" s="5"/>
      <c r="S371" s="4"/>
      <c r="T371" s="5"/>
      <c r="V371" s="5"/>
    </row>
    <row r="372" ht="15.75" customHeight="1">
      <c r="D372" s="3"/>
      <c r="M372" s="4"/>
      <c r="N372" s="5"/>
      <c r="S372" s="4"/>
      <c r="T372" s="5"/>
      <c r="V372" s="5"/>
    </row>
    <row r="373" ht="15.75" customHeight="1">
      <c r="D373" s="3"/>
      <c r="M373" s="4"/>
      <c r="N373" s="5"/>
      <c r="S373" s="4"/>
      <c r="T373" s="5"/>
      <c r="V373" s="5"/>
    </row>
    <row r="374" ht="15.75" customHeight="1">
      <c r="D374" s="3"/>
      <c r="M374" s="4"/>
      <c r="N374" s="5"/>
      <c r="S374" s="4"/>
      <c r="T374" s="5"/>
      <c r="V374" s="5"/>
    </row>
    <row r="375" ht="15.75" customHeight="1">
      <c r="D375" s="3"/>
      <c r="M375" s="4"/>
      <c r="N375" s="5"/>
      <c r="S375" s="4"/>
      <c r="T375" s="5"/>
      <c r="V375" s="5"/>
    </row>
    <row r="376" ht="15.75" customHeight="1">
      <c r="D376" s="3"/>
      <c r="M376" s="4"/>
      <c r="N376" s="5"/>
      <c r="S376" s="4"/>
      <c r="T376" s="5"/>
      <c r="V376" s="5"/>
    </row>
    <row r="377" ht="15.75" customHeight="1">
      <c r="D377" s="3"/>
      <c r="M377" s="4"/>
      <c r="N377" s="5"/>
      <c r="S377" s="4"/>
      <c r="T377" s="5"/>
      <c r="V377" s="5"/>
    </row>
    <row r="378" ht="15.75" customHeight="1">
      <c r="D378" s="3"/>
      <c r="M378" s="4"/>
      <c r="N378" s="5"/>
      <c r="S378" s="4"/>
      <c r="T378" s="5"/>
      <c r="V378" s="5"/>
    </row>
    <row r="379" ht="15.75" customHeight="1">
      <c r="D379" s="3"/>
      <c r="M379" s="4"/>
      <c r="N379" s="5"/>
      <c r="S379" s="4"/>
      <c r="T379" s="5"/>
      <c r="V379" s="5"/>
    </row>
    <row r="380" ht="15.75" customHeight="1">
      <c r="D380" s="3"/>
      <c r="M380" s="4"/>
      <c r="N380" s="5"/>
      <c r="S380" s="4"/>
      <c r="T380" s="5"/>
      <c r="V380" s="5"/>
    </row>
    <row r="381" ht="15.75" customHeight="1">
      <c r="D381" s="3"/>
      <c r="M381" s="4"/>
      <c r="N381" s="5"/>
      <c r="S381" s="4"/>
      <c r="T381" s="5"/>
      <c r="V381" s="5"/>
    </row>
    <row r="382" ht="15.75" customHeight="1">
      <c r="D382" s="3"/>
      <c r="M382" s="4"/>
      <c r="N382" s="5"/>
      <c r="S382" s="4"/>
      <c r="T382" s="5"/>
      <c r="V382" s="5"/>
    </row>
    <row r="383" ht="15.75" customHeight="1">
      <c r="D383" s="3"/>
      <c r="M383" s="4"/>
      <c r="N383" s="5"/>
      <c r="S383" s="4"/>
      <c r="T383" s="5"/>
      <c r="V383" s="5"/>
    </row>
    <row r="384" ht="15.75" customHeight="1">
      <c r="D384" s="3"/>
      <c r="M384" s="4"/>
      <c r="N384" s="5"/>
      <c r="S384" s="4"/>
      <c r="T384" s="5"/>
      <c r="V384" s="5"/>
    </row>
    <row r="385" ht="15.75" customHeight="1">
      <c r="D385" s="3"/>
      <c r="M385" s="4"/>
      <c r="N385" s="5"/>
      <c r="S385" s="4"/>
      <c r="T385" s="5"/>
      <c r="V385" s="5"/>
    </row>
    <row r="386" ht="15.75" customHeight="1">
      <c r="D386" s="3"/>
      <c r="M386" s="4"/>
      <c r="N386" s="5"/>
      <c r="S386" s="4"/>
      <c r="T386" s="5"/>
      <c r="V386" s="5"/>
    </row>
    <row r="387" ht="15.75" customHeight="1">
      <c r="D387" s="3"/>
      <c r="M387" s="4"/>
      <c r="N387" s="5"/>
      <c r="S387" s="4"/>
      <c r="T387" s="5"/>
      <c r="V387" s="5"/>
    </row>
    <row r="388" ht="15.75" customHeight="1">
      <c r="D388" s="3"/>
      <c r="M388" s="4"/>
      <c r="N388" s="5"/>
      <c r="S388" s="4"/>
      <c r="T388" s="5"/>
      <c r="V388" s="5"/>
    </row>
    <row r="389" ht="15.75" customHeight="1">
      <c r="D389" s="3"/>
      <c r="M389" s="4"/>
      <c r="N389" s="5"/>
      <c r="S389" s="4"/>
      <c r="T389" s="5"/>
      <c r="V389" s="5"/>
    </row>
    <row r="390" ht="15.75" customHeight="1">
      <c r="D390" s="3"/>
      <c r="M390" s="4"/>
      <c r="N390" s="5"/>
      <c r="S390" s="4"/>
      <c r="T390" s="5"/>
      <c r="V390" s="5"/>
    </row>
    <row r="391" ht="15.75" customHeight="1">
      <c r="D391" s="3"/>
      <c r="M391" s="4"/>
      <c r="N391" s="5"/>
      <c r="S391" s="4"/>
      <c r="T391" s="5"/>
      <c r="V391" s="5"/>
    </row>
    <row r="392" ht="15.75" customHeight="1">
      <c r="D392" s="3"/>
      <c r="M392" s="4"/>
      <c r="N392" s="5"/>
      <c r="S392" s="4"/>
      <c r="T392" s="5"/>
      <c r="V392" s="5"/>
    </row>
    <row r="393" ht="15.75" customHeight="1">
      <c r="D393" s="3"/>
      <c r="M393" s="4"/>
      <c r="N393" s="5"/>
      <c r="S393" s="4"/>
      <c r="T393" s="5"/>
      <c r="V393" s="5"/>
    </row>
    <row r="394" ht="15.75" customHeight="1">
      <c r="D394" s="3"/>
      <c r="M394" s="4"/>
      <c r="N394" s="5"/>
      <c r="S394" s="4"/>
      <c r="T394" s="5"/>
      <c r="V394" s="5"/>
    </row>
    <row r="395" ht="15.75" customHeight="1">
      <c r="D395" s="3"/>
      <c r="M395" s="4"/>
      <c r="N395" s="5"/>
      <c r="S395" s="4"/>
      <c r="T395" s="5"/>
      <c r="V395" s="5"/>
    </row>
    <row r="396" ht="15.75" customHeight="1">
      <c r="D396" s="3"/>
      <c r="M396" s="4"/>
      <c r="N396" s="5"/>
      <c r="S396" s="4"/>
      <c r="T396" s="5"/>
      <c r="V396" s="5"/>
    </row>
    <row r="397" ht="15.75" customHeight="1">
      <c r="D397" s="3"/>
      <c r="M397" s="4"/>
      <c r="N397" s="5"/>
      <c r="S397" s="4"/>
      <c r="T397" s="5"/>
      <c r="V397" s="5"/>
    </row>
    <row r="398" ht="15.75" customHeight="1">
      <c r="D398" s="3"/>
      <c r="M398" s="4"/>
      <c r="N398" s="5"/>
      <c r="S398" s="4"/>
      <c r="T398" s="5"/>
      <c r="V398" s="5"/>
    </row>
    <row r="399" ht="15.75" customHeight="1">
      <c r="D399" s="3"/>
      <c r="M399" s="4"/>
      <c r="N399" s="5"/>
      <c r="S399" s="4"/>
      <c r="T399" s="5"/>
      <c r="V399" s="5"/>
    </row>
    <row r="400" ht="15.75" customHeight="1">
      <c r="D400" s="3"/>
      <c r="M400" s="4"/>
      <c r="N400" s="5"/>
      <c r="S400" s="4"/>
      <c r="T400" s="5"/>
      <c r="V400" s="5"/>
    </row>
    <row r="401" ht="15.75" customHeight="1">
      <c r="D401" s="3"/>
      <c r="M401" s="4"/>
      <c r="N401" s="5"/>
      <c r="S401" s="4"/>
      <c r="T401" s="5"/>
      <c r="V401" s="5"/>
    </row>
    <row r="402" ht="15.75" customHeight="1">
      <c r="D402" s="3"/>
      <c r="M402" s="4"/>
      <c r="N402" s="5"/>
      <c r="S402" s="4"/>
      <c r="T402" s="5"/>
      <c r="V402" s="5"/>
    </row>
    <row r="403" ht="15.75" customHeight="1">
      <c r="D403" s="3"/>
      <c r="M403" s="4"/>
      <c r="N403" s="5"/>
      <c r="S403" s="4"/>
      <c r="T403" s="5"/>
      <c r="V403" s="5"/>
    </row>
    <row r="404" ht="15.75" customHeight="1">
      <c r="D404" s="3"/>
      <c r="M404" s="4"/>
      <c r="N404" s="5"/>
      <c r="S404" s="4"/>
      <c r="T404" s="5"/>
      <c r="V404" s="5"/>
    </row>
    <row r="405" ht="15.75" customHeight="1">
      <c r="D405" s="3"/>
      <c r="M405" s="4"/>
      <c r="N405" s="5"/>
      <c r="S405" s="4"/>
      <c r="T405" s="5"/>
      <c r="V405" s="5"/>
    </row>
    <row r="406" ht="15.75" customHeight="1">
      <c r="D406" s="3"/>
      <c r="M406" s="4"/>
      <c r="N406" s="5"/>
      <c r="S406" s="4"/>
      <c r="T406" s="5"/>
      <c r="V406" s="5"/>
    </row>
    <row r="407" ht="15.75" customHeight="1">
      <c r="D407" s="3"/>
      <c r="M407" s="4"/>
      <c r="N407" s="5"/>
      <c r="S407" s="4"/>
      <c r="T407" s="5"/>
      <c r="V407" s="5"/>
    </row>
    <row r="408" ht="15.75" customHeight="1">
      <c r="D408" s="3"/>
      <c r="M408" s="4"/>
      <c r="N408" s="5"/>
      <c r="S408" s="4"/>
      <c r="T408" s="5"/>
      <c r="V408" s="5"/>
    </row>
    <row r="409" ht="15.75" customHeight="1">
      <c r="D409" s="3"/>
      <c r="M409" s="4"/>
      <c r="N409" s="5"/>
      <c r="S409" s="4"/>
      <c r="T409" s="5"/>
      <c r="V409" s="5"/>
    </row>
    <row r="410" ht="15.75" customHeight="1">
      <c r="D410" s="3"/>
      <c r="M410" s="4"/>
      <c r="N410" s="5"/>
      <c r="S410" s="4"/>
      <c r="T410" s="5"/>
      <c r="V410" s="5"/>
    </row>
    <row r="411" ht="15.75" customHeight="1">
      <c r="D411" s="3"/>
      <c r="M411" s="4"/>
      <c r="N411" s="5"/>
      <c r="S411" s="4"/>
      <c r="T411" s="5"/>
      <c r="V411" s="5"/>
    </row>
    <row r="412" ht="15.75" customHeight="1">
      <c r="D412" s="3"/>
      <c r="M412" s="4"/>
      <c r="N412" s="5"/>
      <c r="S412" s="4"/>
      <c r="T412" s="5"/>
      <c r="V412" s="5"/>
    </row>
    <row r="413" ht="15.75" customHeight="1">
      <c r="D413" s="3"/>
      <c r="M413" s="4"/>
      <c r="N413" s="5"/>
      <c r="S413" s="4"/>
      <c r="T413" s="5"/>
      <c r="V413" s="5"/>
    </row>
    <row r="414" ht="15.75" customHeight="1">
      <c r="D414" s="3"/>
      <c r="M414" s="4"/>
      <c r="N414" s="5"/>
      <c r="S414" s="4"/>
      <c r="T414" s="5"/>
      <c r="V414" s="5"/>
    </row>
    <row r="415" ht="15.75" customHeight="1">
      <c r="D415" s="3"/>
      <c r="M415" s="4"/>
      <c r="N415" s="5"/>
      <c r="S415" s="4"/>
      <c r="T415" s="5"/>
      <c r="V415" s="5"/>
    </row>
    <row r="416" ht="15.75" customHeight="1">
      <c r="D416" s="3"/>
      <c r="M416" s="4"/>
      <c r="N416" s="5"/>
      <c r="S416" s="4"/>
      <c r="T416" s="5"/>
      <c r="V416" s="5"/>
    </row>
    <row r="417" ht="15.75" customHeight="1">
      <c r="D417" s="3"/>
      <c r="M417" s="4"/>
      <c r="N417" s="5"/>
      <c r="S417" s="4"/>
      <c r="T417" s="5"/>
      <c r="V417" s="5"/>
    </row>
    <row r="418" ht="15.75" customHeight="1">
      <c r="D418" s="3"/>
      <c r="M418" s="4"/>
      <c r="N418" s="5"/>
      <c r="S418" s="4"/>
      <c r="T418" s="5"/>
      <c r="V418" s="5"/>
    </row>
    <row r="419" ht="15.75" customHeight="1">
      <c r="D419" s="3"/>
      <c r="M419" s="4"/>
      <c r="N419" s="5"/>
      <c r="S419" s="4"/>
      <c r="T419" s="5"/>
      <c r="V419" s="5"/>
    </row>
    <row r="420" ht="15.75" customHeight="1">
      <c r="D420" s="3"/>
      <c r="M420" s="4"/>
      <c r="N420" s="5"/>
      <c r="S420" s="4"/>
      <c r="T420" s="5"/>
      <c r="V420" s="5"/>
    </row>
    <row r="421" ht="15.75" customHeight="1">
      <c r="D421" s="3"/>
      <c r="M421" s="4"/>
      <c r="N421" s="5"/>
      <c r="S421" s="4"/>
      <c r="T421" s="5"/>
      <c r="V421" s="5"/>
    </row>
    <row r="422" ht="15.75" customHeight="1">
      <c r="D422" s="3"/>
      <c r="M422" s="4"/>
      <c r="N422" s="5"/>
      <c r="S422" s="4"/>
      <c r="T422" s="5"/>
      <c r="V422" s="5"/>
    </row>
    <row r="423" ht="15.75" customHeight="1">
      <c r="D423" s="3"/>
      <c r="M423" s="4"/>
      <c r="N423" s="5"/>
      <c r="S423" s="4"/>
      <c r="T423" s="5"/>
      <c r="V423" s="5"/>
    </row>
    <row r="424" ht="15.75" customHeight="1">
      <c r="D424" s="3"/>
      <c r="M424" s="4"/>
      <c r="N424" s="5"/>
      <c r="S424" s="4"/>
      <c r="T424" s="5"/>
      <c r="V424" s="5"/>
    </row>
    <row r="425" ht="15.75" customHeight="1">
      <c r="D425" s="3"/>
      <c r="M425" s="4"/>
      <c r="N425" s="5"/>
      <c r="S425" s="4"/>
      <c r="T425" s="5"/>
      <c r="V425" s="5"/>
    </row>
    <row r="426" ht="15.75" customHeight="1">
      <c r="D426" s="3"/>
      <c r="M426" s="4"/>
      <c r="N426" s="5"/>
      <c r="S426" s="4"/>
      <c r="T426" s="5"/>
      <c r="V426" s="5"/>
    </row>
    <row r="427" ht="15.75" customHeight="1">
      <c r="D427" s="3"/>
      <c r="M427" s="4"/>
      <c r="N427" s="5"/>
      <c r="S427" s="4"/>
      <c r="T427" s="5"/>
      <c r="V427" s="5"/>
    </row>
    <row r="428" ht="15.75" customHeight="1">
      <c r="D428" s="3"/>
      <c r="M428" s="4"/>
      <c r="N428" s="5"/>
      <c r="S428" s="4"/>
      <c r="T428" s="5"/>
      <c r="V428" s="5"/>
    </row>
    <row r="429" ht="15.75" customHeight="1">
      <c r="D429" s="3"/>
      <c r="M429" s="4"/>
      <c r="N429" s="5"/>
      <c r="S429" s="4"/>
      <c r="T429" s="5"/>
      <c r="V429" s="5"/>
    </row>
    <row r="430" ht="15.75" customHeight="1">
      <c r="D430" s="3"/>
      <c r="M430" s="4"/>
      <c r="N430" s="5"/>
      <c r="S430" s="4"/>
      <c r="T430" s="5"/>
      <c r="V430" s="5"/>
    </row>
    <row r="431" ht="15.75" customHeight="1">
      <c r="D431" s="3"/>
      <c r="M431" s="4"/>
      <c r="N431" s="5"/>
      <c r="S431" s="4"/>
      <c r="T431" s="5"/>
      <c r="V431" s="5"/>
    </row>
    <row r="432" ht="15.75" customHeight="1">
      <c r="D432" s="3"/>
      <c r="M432" s="4"/>
      <c r="N432" s="5"/>
      <c r="S432" s="4"/>
      <c r="T432" s="5"/>
      <c r="V432" s="5"/>
    </row>
    <row r="433" ht="15.75" customHeight="1">
      <c r="D433" s="3"/>
      <c r="M433" s="4"/>
      <c r="N433" s="5"/>
      <c r="S433" s="4"/>
      <c r="T433" s="5"/>
      <c r="V433" s="5"/>
    </row>
    <row r="434" ht="15.75" customHeight="1">
      <c r="D434" s="3"/>
      <c r="M434" s="4"/>
      <c r="N434" s="5"/>
      <c r="S434" s="4"/>
      <c r="T434" s="5"/>
      <c r="V434" s="5"/>
    </row>
    <row r="435" ht="15.75" customHeight="1">
      <c r="D435" s="3"/>
      <c r="M435" s="4"/>
      <c r="N435" s="5"/>
      <c r="S435" s="4"/>
      <c r="T435" s="5"/>
      <c r="V435" s="5"/>
    </row>
    <row r="436" ht="15.75" customHeight="1">
      <c r="D436" s="3"/>
      <c r="M436" s="4"/>
      <c r="N436" s="5"/>
      <c r="S436" s="4"/>
      <c r="T436" s="5"/>
      <c r="V436" s="5"/>
    </row>
    <row r="437" ht="15.75" customHeight="1">
      <c r="D437" s="3"/>
      <c r="M437" s="4"/>
      <c r="N437" s="5"/>
      <c r="S437" s="4"/>
      <c r="T437" s="5"/>
      <c r="V437" s="5"/>
    </row>
    <row r="438" ht="15.75" customHeight="1">
      <c r="D438" s="3"/>
      <c r="M438" s="4"/>
      <c r="N438" s="5"/>
      <c r="S438" s="4"/>
      <c r="T438" s="5"/>
      <c r="V438" s="5"/>
    </row>
    <row r="439" ht="15.75" customHeight="1">
      <c r="D439" s="3"/>
      <c r="M439" s="4"/>
      <c r="N439" s="5"/>
      <c r="S439" s="4"/>
      <c r="T439" s="5"/>
      <c r="V439" s="5"/>
    </row>
    <row r="440" ht="15.75" customHeight="1">
      <c r="D440" s="3"/>
      <c r="M440" s="4"/>
      <c r="N440" s="5"/>
      <c r="S440" s="4"/>
      <c r="T440" s="5"/>
      <c r="V440" s="5"/>
    </row>
    <row r="441" ht="15.75" customHeight="1">
      <c r="D441" s="3"/>
      <c r="M441" s="4"/>
      <c r="N441" s="5"/>
      <c r="S441" s="4"/>
      <c r="T441" s="5"/>
      <c r="V441" s="5"/>
    </row>
    <row r="442" ht="15.75" customHeight="1">
      <c r="D442" s="3"/>
      <c r="M442" s="4"/>
      <c r="N442" s="5"/>
      <c r="S442" s="4"/>
      <c r="T442" s="5"/>
      <c r="V442" s="5"/>
    </row>
    <row r="443" ht="15.75" customHeight="1">
      <c r="D443" s="3"/>
      <c r="M443" s="4"/>
      <c r="N443" s="5"/>
      <c r="S443" s="4"/>
      <c r="T443" s="5"/>
      <c r="V443" s="5"/>
    </row>
    <row r="444" ht="15.75" customHeight="1">
      <c r="D444" s="3"/>
      <c r="M444" s="4"/>
      <c r="N444" s="5"/>
      <c r="S444" s="4"/>
      <c r="T444" s="5"/>
      <c r="V444" s="5"/>
    </row>
    <row r="445" ht="15.75" customHeight="1">
      <c r="D445" s="3"/>
      <c r="M445" s="4"/>
      <c r="N445" s="5"/>
      <c r="S445" s="4"/>
      <c r="T445" s="5"/>
      <c r="V445" s="5"/>
    </row>
    <row r="446" ht="15.75" customHeight="1">
      <c r="D446" s="3"/>
      <c r="M446" s="4"/>
      <c r="N446" s="5"/>
      <c r="S446" s="4"/>
      <c r="T446" s="5"/>
      <c r="V446" s="5"/>
    </row>
    <row r="447" ht="15.75" customHeight="1">
      <c r="D447" s="3"/>
      <c r="M447" s="4"/>
      <c r="N447" s="5"/>
      <c r="S447" s="4"/>
      <c r="T447" s="5"/>
      <c r="V447" s="5"/>
    </row>
    <row r="448" ht="15.75" customHeight="1">
      <c r="D448" s="3"/>
      <c r="M448" s="4"/>
      <c r="N448" s="5"/>
      <c r="S448" s="4"/>
      <c r="T448" s="5"/>
      <c r="V448" s="5"/>
    </row>
    <row r="449" ht="15.75" customHeight="1">
      <c r="D449" s="3"/>
      <c r="M449" s="4"/>
      <c r="N449" s="5"/>
      <c r="S449" s="4"/>
      <c r="T449" s="5"/>
      <c r="V449" s="5"/>
    </row>
    <row r="450" ht="15.75" customHeight="1">
      <c r="D450" s="3"/>
      <c r="M450" s="4"/>
      <c r="N450" s="5"/>
      <c r="S450" s="4"/>
      <c r="T450" s="5"/>
      <c r="V450" s="5"/>
    </row>
    <row r="451" ht="15.75" customHeight="1">
      <c r="D451" s="3"/>
      <c r="M451" s="4"/>
      <c r="N451" s="5"/>
      <c r="S451" s="4"/>
      <c r="T451" s="5"/>
      <c r="V451" s="5"/>
    </row>
    <row r="452" ht="15.75" customHeight="1">
      <c r="D452" s="3"/>
      <c r="M452" s="4"/>
      <c r="N452" s="5"/>
      <c r="S452" s="4"/>
      <c r="T452" s="5"/>
      <c r="V452" s="5"/>
    </row>
    <row r="453" ht="15.75" customHeight="1">
      <c r="D453" s="3"/>
      <c r="M453" s="4"/>
      <c r="N453" s="5"/>
      <c r="S453" s="4"/>
      <c r="T453" s="5"/>
      <c r="V453" s="5"/>
    </row>
    <row r="454" ht="15.75" customHeight="1">
      <c r="D454" s="3"/>
      <c r="M454" s="4"/>
      <c r="N454" s="5"/>
      <c r="S454" s="4"/>
      <c r="T454" s="5"/>
      <c r="V454" s="5"/>
    </row>
    <row r="455" ht="15.75" customHeight="1">
      <c r="D455" s="3"/>
      <c r="M455" s="4"/>
      <c r="N455" s="5"/>
      <c r="S455" s="4"/>
      <c r="T455" s="5"/>
      <c r="V455" s="5"/>
    </row>
    <row r="456" ht="15.75" customHeight="1">
      <c r="D456" s="3"/>
      <c r="M456" s="4"/>
      <c r="N456" s="5"/>
      <c r="S456" s="4"/>
      <c r="T456" s="5"/>
      <c r="V456" s="5"/>
    </row>
    <row r="457" ht="15.75" customHeight="1">
      <c r="D457" s="3"/>
      <c r="M457" s="4"/>
      <c r="N457" s="5"/>
      <c r="S457" s="4"/>
      <c r="T457" s="5"/>
      <c r="V457" s="5"/>
    </row>
    <row r="458" ht="15.75" customHeight="1">
      <c r="D458" s="3"/>
      <c r="M458" s="4"/>
      <c r="N458" s="5"/>
      <c r="S458" s="4"/>
      <c r="T458" s="5"/>
      <c r="V458" s="5"/>
    </row>
    <row r="459" ht="15.75" customHeight="1">
      <c r="D459" s="3"/>
      <c r="M459" s="4"/>
      <c r="N459" s="5"/>
      <c r="S459" s="4"/>
      <c r="T459" s="5"/>
      <c r="V459" s="5"/>
    </row>
    <row r="460" ht="15.75" customHeight="1">
      <c r="D460" s="3"/>
      <c r="M460" s="4"/>
      <c r="N460" s="5"/>
      <c r="S460" s="4"/>
      <c r="T460" s="5"/>
      <c r="V460" s="5"/>
    </row>
    <row r="461" ht="15.75" customHeight="1">
      <c r="D461" s="3"/>
      <c r="M461" s="4"/>
      <c r="N461" s="5"/>
      <c r="S461" s="4"/>
      <c r="T461" s="5"/>
      <c r="V461" s="5"/>
    </row>
    <row r="462" ht="15.75" customHeight="1">
      <c r="D462" s="3"/>
      <c r="M462" s="4"/>
      <c r="N462" s="5"/>
      <c r="S462" s="4"/>
      <c r="T462" s="5"/>
      <c r="V462" s="5"/>
    </row>
    <row r="463" ht="15.75" customHeight="1">
      <c r="D463" s="3"/>
      <c r="M463" s="4"/>
      <c r="N463" s="5"/>
      <c r="S463" s="4"/>
      <c r="T463" s="5"/>
      <c r="V463" s="5"/>
    </row>
    <row r="464" ht="15.75" customHeight="1">
      <c r="D464" s="3"/>
      <c r="M464" s="4"/>
      <c r="N464" s="5"/>
      <c r="S464" s="4"/>
      <c r="T464" s="5"/>
      <c r="V464" s="5"/>
    </row>
    <row r="465" ht="15.75" customHeight="1">
      <c r="D465" s="3"/>
      <c r="M465" s="4"/>
      <c r="N465" s="5"/>
      <c r="S465" s="4"/>
      <c r="T465" s="5"/>
      <c r="V465" s="5"/>
    </row>
    <row r="466" ht="15.75" customHeight="1">
      <c r="D466" s="3"/>
      <c r="M466" s="4"/>
      <c r="N466" s="5"/>
      <c r="S466" s="4"/>
      <c r="T466" s="5"/>
      <c r="V466" s="5"/>
    </row>
    <row r="467" ht="15.75" customHeight="1">
      <c r="D467" s="3"/>
      <c r="M467" s="4"/>
      <c r="N467" s="5"/>
      <c r="S467" s="4"/>
      <c r="T467" s="5"/>
      <c r="V467" s="5"/>
    </row>
    <row r="468" ht="15.75" customHeight="1">
      <c r="D468" s="3"/>
      <c r="M468" s="4"/>
      <c r="N468" s="5"/>
      <c r="S468" s="4"/>
      <c r="T468" s="5"/>
      <c r="V468" s="5"/>
    </row>
    <row r="469" ht="15.75" customHeight="1">
      <c r="D469" s="3"/>
      <c r="M469" s="4"/>
      <c r="N469" s="5"/>
      <c r="S469" s="4"/>
      <c r="T469" s="5"/>
      <c r="V469" s="5"/>
    </row>
    <row r="470" ht="15.75" customHeight="1">
      <c r="D470" s="3"/>
      <c r="M470" s="4"/>
      <c r="N470" s="5"/>
      <c r="S470" s="4"/>
      <c r="T470" s="5"/>
      <c r="V470" s="5"/>
    </row>
    <row r="471" ht="15.75" customHeight="1">
      <c r="D471" s="3"/>
      <c r="M471" s="4"/>
      <c r="N471" s="5"/>
      <c r="S471" s="4"/>
      <c r="T471" s="5"/>
      <c r="V471" s="5"/>
    </row>
    <row r="472" ht="15.75" customHeight="1">
      <c r="D472" s="3"/>
      <c r="M472" s="4"/>
      <c r="N472" s="5"/>
      <c r="S472" s="4"/>
      <c r="T472" s="5"/>
      <c r="V472" s="5"/>
    </row>
    <row r="473" ht="15.75" customHeight="1">
      <c r="D473" s="3"/>
      <c r="M473" s="4"/>
      <c r="N473" s="5"/>
      <c r="S473" s="4"/>
      <c r="T473" s="5"/>
      <c r="V473" s="5"/>
    </row>
    <row r="474" ht="15.75" customHeight="1">
      <c r="D474" s="3"/>
      <c r="M474" s="4"/>
      <c r="N474" s="5"/>
      <c r="S474" s="4"/>
      <c r="T474" s="5"/>
      <c r="V474" s="5"/>
    </row>
    <row r="475" ht="15.75" customHeight="1">
      <c r="D475" s="3"/>
      <c r="M475" s="4"/>
      <c r="N475" s="5"/>
      <c r="S475" s="4"/>
      <c r="T475" s="5"/>
      <c r="V475" s="5"/>
    </row>
    <row r="476" ht="15.75" customHeight="1">
      <c r="D476" s="3"/>
      <c r="M476" s="4"/>
      <c r="N476" s="5"/>
      <c r="S476" s="4"/>
      <c r="T476" s="5"/>
      <c r="V476" s="5"/>
    </row>
    <row r="477" ht="15.75" customHeight="1">
      <c r="D477" s="3"/>
      <c r="M477" s="4"/>
      <c r="N477" s="5"/>
      <c r="S477" s="4"/>
      <c r="T477" s="5"/>
      <c r="V477" s="5"/>
    </row>
    <row r="478" ht="15.75" customHeight="1">
      <c r="D478" s="3"/>
      <c r="M478" s="4"/>
      <c r="N478" s="5"/>
      <c r="S478" s="4"/>
      <c r="T478" s="5"/>
      <c r="V478" s="5"/>
    </row>
    <row r="479" ht="15.75" customHeight="1">
      <c r="D479" s="3"/>
      <c r="M479" s="4"/>
      <c r="N479" s="5"/>
      <c r="S479" s="4"/>
      <c r="T479" s="5"/>
      <c r="V479" s="5"/>
    </row>
    <row r="480" ht="15.75" customHeight="1">
      <c r="D480" s="3"/>
      <c r="M480" s="4"/>
      <c r="N480" s="5"/>
      <c r="S480" s="4"/>
      <c r="T480" s="5"/>
      <c r="V480" s="5"/>
    </row>
    <row r="481" ht="15.75" customHeight="1">
      <c r="D481" s="3"/>
      <c r="M481" s="4"/>
      <c r="N481" s="5"/>
      <c r="S481" s="4"/>
      <c r="T481" s="5"/>
      <c r="V481" s="5"/>
    </row>
    <row r="482" ht="15.75" customHeight="1">
      <c r="D482" s="3"/>
      <c r="M482" s="4"/>
      <c r="N482" s="5"/>
      <c r="S482" s="4"/>
      <c r="T482" s="5"/>
      <c r="V482" s="5"/>
    </row>
    <row r="483" ht="15.75" customHeight="1">
      <c r="D483" s="3"/>
      <c r="M483" s="4"/>
      <c r="N483" s="5"/>
      <c r="S483" s="4"/>
      <c r="T483" s="5"/>
      <c r="V483" s="5"/>
    </row>
    <row r="484" ht="15.75" customHeight="1">
      <c r="D484" s="3"/>
      <c r="M484" s="4"/>
      <c r="N484" s="5"/>
      <c r="S484" s="4"/>
      <c r="T484" s="5"/>
      <c r="V484" s="5"/>
    </row>
    <row r="485" ht="15.75" customHeight="1">
      <c r="D485" s="3"/>
      <c r="M485" s="4"/>
      <c r="N485" s="5"/>
      <c r="S485" s="4"/>
      <c r="T485" s="5"/>
      <c r="V485" s="5"/>
    </row>
    <row r="486" ht="15.75" customHeight="1">
      <c r="D486" s="3"/>
      <c r="M486" s="4"/>
      <c r="N486" s="5"/>
      <c r="S486" s="4"/>
      <c r="T486" s="5"/>
      <c r="V486" s="5"/>
    </row>
    <row r="487" ht="15.75" customHeight="1">
      <c r="D487" s="3"/>
      <c r="M487" s="4"/>
      <c r="N487" s="5"/>
      <c r="S487" s="4"/>
      <c r="T487" s="5"/>
      <c r="V487" s="5"/>
    </row>
    <row r="488" ht="15.75" customHeight="1">
      <c r="D488" s="3"/>
      <c r="M488" s="4"/>
      <c r="N488" s="5"/>
      <c r="S488" s="4"/>
      <c r="T488" s="5"/>
      <c r="V488" s="5"/>
    </row>
    <row r="489" ht="15.75" customHeight="1">
      <c r="D489" s="3"/>
      <c r="M489" s="4"/>
      <c r="N489" s="5"/>
      <c r="S489" s="4"/>
      <c r="T489" s="5"/>
      <c r="V489" s="5"/>
    </row>
    <row r="490" ht="15.75" customHeight="1">
      <c r="D490" s="3"/>
      <c r="M490" s="4"/>
      <c r="N490" s="5"/>
      <c r="S490" s="4"/>
      <c r="T490" s="5"/>
      <c r="V490" s="5"/>
    </row>
    <row r="491" ht="15.75" customHeight="1">
      <c r="D491" s="3"/>
      <c r="M491" s="4"/>
      <c r="N491" s="5"/>
      <c r="S491" s="4"/>
      <c r="T491" s="5"/>
      <c r="V491" s="5"/>
    </row>
    <row r="492" ht="15.75" customHeight="1">
      <c r="D492" s="3"/>
      <c r="M492" s="4"/>
      <c r="N492" s="5"/>
      <c r="S492" s="4"/>
      <c r="T492" s="5"/>
      <c r="V492" s="5"/>
    </row>
    <row r="493" ht="15.75" customHeight="1">
      <c r="D493" s="3"/>
      <c r="M493" s="4"/>
      <c r="N493" s="5"/>
      <c r="S493" s="4"/>
      <c r="T493" s="5"/>
      <c r="V493" s="5"/>
    </row>
    <row r="494" ht="15.75" customHeight="1">
      <c r="D494" s="3"/>
      <c r="M494" s="4"/>
      <c r="N494" s="5"/>
      <c r="S494" s="4"/>
      <c r="T494" s="5"/>
      <c r="V494" s="5"/>
    </row>
    <row r="495" ht="15.75" customHeight="1">
      <c r="D495" s="3"/>
      <c r="M495" s="4"/>
      <c r="N495" s="5"/>
      <c r="S495" s="4"/>
      <c r="T495" s="5"/>
      <c r="V495" s="5"/>
    </row>
    <row r="496" ht="15.75" customHeight="1">
      <c r="D496" s="3"/>
      <c r="M496" s="4"/>
      <c r="N496" s="5"/>
      <c r="S496" s="4"/>
      <c r="T496" s="5"/>
      <c r="V496" s="5"/>
    </row>
    <row r="497" ht="15.75" customHeight="1">
      <c r="D497" s="3"/>
      <c r="M497" s="4"/>
      <c r="N497" s="5"/>
      <c r="S497" s="4"/>
      <c r="T497" s="5"/>
      <c r="V497" s="5"/>
    </row>
    <row r="498" ht="15.75" customHeight="1">
      <c r="D498" s="3"/>
      <c r="M498" s="4"/>
      <c r="N498" s="5"/>
      <c r="S498" s="4"/>
      <c r="T498" s="5"/>
      <c r="V498" s="5"/>
    </row>
    <row r="499" ht="15.75" customHeight="1">
      <c r="D499" s="3"/>
      <c r="M499" s="4"/>
      <c r="N499" s="5"/>
      <c r="S499" s="4"/>
      <c r="T499" s="5"/>
      <c r="V499" s="5"/>
    </row>
    <row r="500" ht="15.75" customHeight="1">
      <c r="D500" s="3"/>
      <c r="M500" s="4"/>
      <c r="N500" s="5"/>
      <c r="S500" s="4"/>
      <c r="T500" s="5"/>
      <c r="V500" s="5"/>
    </row>
    <row r="501" ht="15.75" customHeight="1">
      <c r="D501" s="3"/>
      <c r="M501" s="4"/>
      <c r="N501" s="5"/>
      <c r="S501" s="4"/>
      <c r="T501" s="5"/>
      <c r="V501" s="5"/>
    </row>
    <row r="502" ht="15.75" customHeight="1">
      <c r="D502" s="3"/>
      <c r="M502" s="4"/>
      <c r="N502" s="5"/>
      <c r="S502" s="4"/>
      <c r="T502" s="5"/>
      <c r="V502" s="5"/>
    </row>
    <row r="503" ht="15.75" customHeight="1">
      <c r="D503" s="3"/>
      <c r="M503" s="4"/>
      <c r="N503" s="5"/>
      <c r="S503" s="4"/>
      <c r="T503" s="5"/>
      <c r="V503" s="5"/>
    </row>
    <row r="504" ht="15.75" customHeight="1">
      <c r="D504" s="3"/>
      <c r="M504" s="4"/>
      <c r="N504" s="5"/>
      <c r="S504" s="4"/>
      <c r="T504" s="5"/>
      <c r="V504" s="5"/>
    </row>
    <row r="505" ht="15.75" customHeight="1">
      <c r="D505" s="3"/>
      <c r="M505" s="4"/>
      <c r="N505" s="5"/>
      <c r="S505" s="4"/>
      <c r="T505" s="5"/>
      <c r="V505" s="5"/>
    </row>
    <row r="506" ht="15.75" customHeight="1">
      <c r="D506" s="3"/>
      <c r="M506" s="4"/>
      <c r="N506" s="5"/>
      <c r="S506" s="4"/>
      <c r="T506" s="5"/>
      <c r="V506" s="5"/>
    </row>
    <row r="507" ht="15.75" customHeight="1">
      <c r="D507" s="3"/>
      <c r="M507" s="4"/>
      <c r="N507" s="5"/>
      <c r="S507" s="4"/>
      <c r="T507" s="5"/>
      <c r="V507" s="5"/>
    </row>
    <row r="508" ht="15.75" customHeight="1">
      <c r="D508" s="3"/>
      <c r="M508" s="4"/>
      <c r="N508" s="5"/>
      <c r="S508" s="4"/>
      <c r="T508" s="5"/>
      <c r="V508" s="5"/>
    </row>
    <row r="509" ht="15.75" customHeight="1">
      <c r="D509" s="3"/>
      <c r="M509" s="4"/>
      <c r="N509" s="5"/>
      <c r="S509" s="4"/>
      <c r="T509" s="5"/>
      <c r="V509" s="5"/>
    </row>
    <row r="510" ht="15.75" customHeight="1">
      <c r="D510" s="3"/>
      <c r="M510" s="4"/>
      <c r="N510" s="5"/>
      <c r="S510" s="4"/>
      <c r="T510" s="5"/>
      <c r="V510" s="5"/>
    </row>
    <row r="511" ht="15.75" customHeight="1">
      <c r="D511" s="3"/>
      <c r="M511" s="4"/>
      <c r="N511" s="5"/>
      <c r="S511" s="4"/>
      <c r="T511" s="5"/>
      <c r="V511" s="5"/>
    </row>
    <row r="512" ht="15.75" customHeight="1">
      <c r="D512" s="3"/>
      <c r="M512" s="4"/>
      <c r="N512" s="5"/>
      <c r="S512" s="4"/>
      <c r="T512" s="5"/>
      <c r="V512" s="5"/>
    </row>
    <row r="513" ht="15.75" customHeight="1">
      <c r="D513" s="3"/>
      <c r="M513" s="4"/>
      <c r="N513" s="5"/>
      <c r="S513" s="4"/>
      <c r="T513" s="5"/>
      <c r="V513" s="5"/>
    </row>
    <row r="514" ht="15.75" customHeight="1">
      <c r="D514" s="3"/>
      <c r="M514" s="4"/>
      <c r="N514" s="5"/>
      <c r="S514" s="4"/>
      <c r="T514" s="5"/>
      <c r="V514" s="5"/>
    </row>
    <row r="515" ht="15.75" customHeight="1">
      <c r="D515" s="3"/>
      <c r="M515" s="4"/>
      <c r="N515" s="5"/>
      <c r="S515" s="4"/>
      <c r="T515" s="5"/>
      <c r="V515" s="5"/>
    </row>
    <row r="516" ht="15.75" customHeight="1">
      <c r="D516" s="3"/>
      <c r="M516" s="4"/>
      <c r="N516" s="5"/>
      <c r="S516" s="4"/>
      <c r="T516" s="5"/>
      <c r="V516" s="5"/>
    </row>
    <row r="517" ht="15.75" customHeight="1">
      <c r="D517" s="3"/>
      <c r="M517" s="4"/>
      <c r="N517" s="5"/>
      <c r="S517" s="4"/>
      <c r="T517" s="5"/>
      <c r="V517" s="5"/>
    </row>
    <row r="518" ht="15.75" customHeight="1">
      <c r="D518" s="3"/>
      <c r="M518" s="4"/>
      <c r="N518" s="5"/>
      <c r="S518" s="4"/>
      <c r="T518" s="5"/>
      <c r="V518" s="5"/>
    </row>
    <row r="519" ht="15.75" customHeight="1">
      <c r="D519" s="3"/>
      <c r="M519" s="4"/>
      <c r="N519" s="5"/>
      <c r="S519" s="4"/>
      <c r="T519" s="5"/>
      <c r="V519" s="5"/>
    </row>
    <row r="520" ht="15.75" customHeight="1">
      <c r="D520" s="3"/>
      <c r="M520" s="4"/>
      <c r="N520" s="5"/>
      <c r="S520" s="4"/>
      <c r="T520" s="5"/>
      <c r="V520" s="5"/>
    </row>
    <row r="521" ht="15.75" customHeight="1">
      <c r="D521" s="3"/>
      <c r="M521" s="4"/>
      <c r="N521" s="5"/>
      <c r="S521" s="4"/>
      <c r="T521" s="5"/>
      <c r="V521" s="5"/>
    </row>
    <row r="522" ht="15.75" customHeight="1">
      <c r="D522" s="3"/>
      <c r="M522" s="4"/>
      <c r="N522" s="5"/>
      <c r="S522" s="4"/>
      <c r="T522" s="5"/>
      <c r="V522" s="5"/>
    </row>
    <row r="523" ht="15.75" customHeight="1">
      <c r="D523" s="3"/>
      <c r="M523" s="4"/>
      <c r="N523" s="5"/>
      <c r="S523" s="4"/>
      <c r="T523" s="5"/>
      <c r="V523" s="5"/>
    </row>
    <row r="524" ht="15.75" customHeight="1">
      <c r="D524" s="3"/>
      <c r="M524" s="4"/>
      <c r="N524" s="5"/>
      <c r="S524" s="4"/>
      <c r="T524" s="5"/>
      <c r="V524" s="5"/>
    </row>
    <row r="525" ht="15.75" customHeight="1">
      <c r="D525" s="3"/>
      <c r="M525" s="4"/>
      <c r="N525" s="5"/>
      <c r="S525" s="4"/>
      <c r="T525" s="5"/>
      <c r="V525" s="5"/>
    </row>
    <row r="526" ht="15.75" customHeight="1">
      <c r="D526" s="3"/>
      <c r="M526" s="4"/>
      <c r="N526" s="5"/>
      <c r="S526" s="4"/>
      <c r="T526" s="5"/>
      <c r="V526" s="5"/>
    </row>
    <row r="527" ht="15.75" customHeight="1">
      <c r="D527" s="3"/>
      <c r="M527" s="4"/>
      <c r="N527" s="5"/>
      <c r="S527" s="4"/>
      <c r="T527" s="5"/>
      <c r="V527" s="5"/>
    </row>
    <row r="528" ht="15.75" customHeight="1">
      <c r="D528" s="3"/>
      <c r="M528" s="4"/>
      <c r="N528" s="5"/>
      <c r="S528" s="4"/>
      <c r="T528" s="5"/>
      <c r="V528" s="5"/>
    </row>
    <row r="529" ht="15.75" customHeight="1">
      <c r="D529" s="3"/>
      <c r="M529" s="4"/>
      <c r="N529" s="5"/>
      <c r="S529" s="4"/>
      <c r="T529" s="5"/>
      <c r="V529" s="5"/>
    </row>
    <row r="530" ht="15.75" customHeight="1">
      <c r="D530" s="3"/>
      <c r="M530" s="4"/>
      <c r="N530" s="5"/>
      <c r="S530" s="4"/>
      <c r="T530" s="5"/>
      <c r="V530" s="5"/>
    </row>
    <row r="531" ht="15.75" customHeight="1">
      <c r="D531" s="3"/>
      <c r="M531" s="4"/>
      <c r="N531" s="5"/>
      <c r="S531" s="4"/>
      <c r="T531" s="5"/>
      <c r="V531" s="5"/>
    </row>
    <row r="532" ht="15.75" customHeight="1">
      <c r="D532" s="3"/>
      <c r="M532" s="4"/>
      <c r="N532" s="5"/>
      <c r="S532" s="4"/>
      <c r="T532" s="5"/>
      <c r="V532" s="5"/>
    </row>
    <row r="533" ht="15.75" customHeight="1">
      <c r="D533" s="3"/>
      <c r="M533" s="4"/>
      <c r="N533" s="5"/>
      <c r="S533" s="4"/>
      <c r="T533" s="5"/>
      <c r="V533" s="5"/>
    </row>
    <row r="534" ht="15.75" customHeight="1">
      <c r="D534" s="3"/>
      <c r="M534" s="4"/>
      <c r="N534" s="5"/>
      <c r="S534" s="4"/>
      <c r="T534" s="5"/>
      <c r="V534" s="5"/>
    </row>
    <row r="535" ht="15.75" customHeight="1">
      <c r="D535" s="3"/>
      <c r="M535" s="4"/>
      <c r="N535" s="5"/>
      <c r="S535" s="4"/>
      <c r="T535" s="5"/>
      <c r="V535" s="5"/>
    </row>
    <row r="536" ht="15.75" customHeight="1">
      <c r="D536" s="3"/>
      <c r="M536" s="4"/>
      <c r="N536" s="5"/>
      <c r="S536" s="4"/>
      <c r="T536" s="5"/>
      <c r="V536" s="5"/>
    </row>
    <row r="537" ht="15.75" customHeight="1">
      <c r="D537" s="3"/>
      <c r="M537" s="4"/>
      <c r="N537" s="5"/>
      <c r="S537" s="4"/>
      <c r="T537" s="5"/>
      <c r="V537" s="5"/>
    </row>
    <row r="538" ht="15.75" customHeight="1">
      <c r="D538" s="3"/>
      <c r="M538" s="4"/>
      <c r="N538" s="5"/>
      <c r="S538" s="4"/>
      <c r="T538" s="5"/>
      <c r="V538" s="5"/>
    </row>
    <row r="539" ht="15.75" customHeight="1">
      <c r="D539" s="3"/>
      <c r="M539" s="4"/>
      <c r="N539" s="5"/>
      <c r="S539" s="4"/>
      <c r="T539" s="5"/>
      <c r="V539" s="5"/>
    </row>
    <row r="540" ht="15.75" customHeight="1">
      <c r="D540" s="3"/>
      <c r="M540" s="4"/>
      <c r="N540" s="5"/>
      <c r="S540" s="4"/>
      <c r="T540" s="5"/>
      <c r="V540" s="5"/>
    </row>
    <row r="541" ht="15.75" customHeight="1">
      <c r="D541" s="3"/>
      <c r="M541" s="4"/>
      <c r="N541" s="5"/>
      <c r="S541" s="4"/>
      <c r="T541" s="5"/>
      <c r="V541" s="5"/>
    </row>
    <row r="542" ht="15.75" customHeight="1">
      <c r="D542" s="3"/>
      <c r="M542" s="4"/>
      <c r="N542" s="5"/>
      <c r="S542" s="4"/>
      <c r="T542" s="5"/>
      <c r="V542" s="5"/>
    </row>
    <row r="543" ht="15.75" customHeight="1">
      <c r="D543" s="3"/>
      <c r="M543" s="4"/>
      <c r="N543" s="5"/>
      <c r="S543" s="4"/>
      <c r="T543" s="5"/>
      <c r="V543" s="5"/>
    </row>
    <row r="544" ht="15.75" customHeight="1">
      <c r="D544" s="3"/>
      <c r="M544" s="4"/>
      <c r="N544" s="5"/>
      <c r="S544" s="4"/>
      <c r="T544" s="5"/>
      <c r="V544" s="5"/>
    </row>
    <row r="545" ht="15.75" customHeight="1">
      <c r="D545" s="3"/>
      <c r="M545" s="4"/>
      <c r="N545" s="5"/>
      <c r="S545" s="4"/>
      <c r="T545" s="5"/>
      <c r="V545" s="5"/>
    </row>
    <row r="546" ht="15.75" customHeight="1">
      <c r="D546" s="3"/>
      <c r="M546" s="4"/>
      <c r="N546" s="5"/>
      <c r="S546" s="4"/>
      <c r="T546" s="5"/>
      <c r="V546" s="5"/>
    </row>
    <row r="547" ht="15.75" customHeight="1">
      <c r="D547" s="3"/>
      <c r="M547" s="4"/>
      <c r="N547" s="5"/>
      <c r="S547" s="4"/>
      <c r="T547" s="5"/>
      <c r="V547" s="5"/>
    </row>
    <row r="548" ht="15.75" customHeight="1">
      <c r="D548" s="3"/>
      <c r="M548" s="4"/>
      <c r="N548" s="5"/>
      <c r="S548" s="4"/>
      <c r="T548" s="5"/>
      <c r="V548" s="5"/>
    </row>
    <row r="549" ht="15.75" customHeight="1">
      <c r="D549" s="3"/>
      <c r="M549" s="4"/>
      <c r="N549" s="5"/>
      <c r="S549" s="4"/>
      <c r="T549" s="5"/>
      <c r="V549" s="5"/>
    </row>
    <row r="550" ht="15.75" customHeight="1">
      <c r="D550" s="3"/>
      <c r="M550" s="4"/>
      <c r="N550" s="5"/>
      <c r="S550" s="4"/>
      <c r="T550" s="5"/>
      <c r="V550" s="5"/>
      <c r="AC550" s="7" t="str">
        <f>COMPLEX(y. nnm.jjhhbbhb. ; AF405; AF616)</f>
        <v>#ERROR!</v>
      </c>
    </row>
    <row r="551" ht="15.75" customHeight="1">
      <c r="D551" s="3"/>
      <c r="M551" s="4"/>
      <c r="N551" s="5"/>
      <c r="S551" s="4"/>
      <c r="T551" s="5"/>
      <c r="V551" s="5"/>
    </row>
    <row r="552" ht="15.75" customHeight="1">
      <c r="D552" s="3"/>
      <c r="M552" s="4"/>
      <c r="N552" s="5"/>
      <c r="S552" s="4"/>
      <c r="T552" s="5"/>
      <c r="V552" s="5"/>
    </row>
    <row r="553" ht="15.75" customHeight="1">
      <c r="D553" s="3"/>
      <c r="M553" s="4"/>
      <c r="N553" s="5"/>
      <c r="S553" s="4"/>
      <c r="T553" s="5"/>
      <c r="V553" s="5"/>
    </row>
    <row r="554" ht="15.75" customHeight="1">
      <c r="D554" s="3"/>
      <c r="M554" s="4"/>
      <c r="N554" s="5"/>
      <c r="S554" s="4"/>
      <c r="T554" s="5"/>
      <c r="V554" s="5"/>
    </row>
    <row r="555" ht="15.75" customHeight="1">
      <c r="D555" s="3"/>
      <c r="M555" s="4"/>
      <c r="N555" s="5"/>
      <c r="S555" s="4"/>
      <c r="T555" s="5"/>
      <c r="V555" s="5"/>
    </row>
    <row r="556" ht="15.75" customHeight="1">
      <c r="D556" s="3"/>
      <c r="M556" s="4"/>
      <c r="N556" s="5"/>
      <c r="S556" s="4"/>
      <c r="T556" s="5"/>
      <c r="V556" s="5"/>
    </row>
    <row r="557" ht="15.75" customHeight="1">
      <c r="D557" s="3"/>
      <c r="M557" s="4"/>
      <c r="N557" s="5"/>
      <c r="S557" s="4"/>
      <c r="T557" s="5"/>
      <c r="V557" s="5"/>
    </row>
    <row r="558" ht="15.75" customHeight="1">
      <c r="D558" s="3"/>
      <c r="M558" s="4"/>
      <c r="N558" s="5"/>
      <c r="S558" s="4"/>
      <c r="T558" s="5"/>
      <c r="V558" s="5"/>
    </row>
    <row r="559" ht="15.75" customHeight="1">
      <c r="D559" s="3"/>
      <c r="M559" s="4"/>
      <c r="N559" s="5"/>
      <c r="S559" s="4"/>
      <c r="T559" s="5"/>
      <c r="V559" s="5"/>
    </row>
    <row r="560" ht="15.75" customHeight="1">
      <c r="D560" s="3"/>
      <c r="M560" s="4"/>
      <c r="N560" s="5"/>
      <c r="S560" s="4"/>
      <c r="T560" s="5"/>
      <c r="V560" s="5"/>
    </row>
    <row r="561" ht="15.75" customHeight="1">
      <c r="D561" s="3"/>
      <c r="M561" s="4"/>
      <c r="N561" s="5"/>
      <c r="S561" s="4"/>
      <c r="T561" s="5"/>
      <c r="V561" s="5"/>
    </row>
    <row r="562" ht="15.75" customHeight="1">
      <c r="D562" s="3"/>
      <c r="M562" s="4"/>
      <c r="N562" s="5"/>
      <c r="S562" s="4"/>
      <c r="T562" s="5"/>
      <c r="V562" s="5"/>
    </row>
    <row r="563" ht="15.75" customHeight="1">
      <c r="D563" s="3"/>
      <c r="M563" s="4"/>
      <c r="N563" s="5"/>
      <c r="S563" s="4"/>
      <c r="T563" s="5"/>
      <c r="V563" s="5"/>
    </row>
    <row r="564" ht="15.75" customHeight="1">
      <c r="D564" s="3"/>
      <c r="M564" s="4"/>
      <c r="N564" s="5"/>
      <c r="S564" s="4"/>
      <c r="T564" s="5"/>
      <c r="V564" s="5"/>
    </row>
    <row r="565" ht="15.75" customHeight="1">
      <c r="D565" s="3"/>
      <c r="M565" s="4"/>
      <c r="N565" s="5"/>
      <c r="S565" s="4"/>
      <c r="T565" s="5"/>
      <c r="V565" s="5"/>
    </row>
    <row r="566" ht="15.75" customHeight="1">
      <c r="D566" s="3"/>
      <c r="M566" s="4"/>
      <c r="N566" s="5"/>
      <c r="S566" s="4"/>
      <c r="T566" s="5"/>
      <c r="V566" s="5"/>
    </row>
    <row r="567" ht="15.75" customHeight="1">
      <c r="D567" s="3"/>
      <c r="M567" s="4"/>
      <c r="N567" s="5"/>
      <c r="S567" s="4"/>
      <c r="T567" s="5"/>
      <c r="V567" s="5"/>
    </row>
    <row r="568" ht="15.75" customHeight="1">
      <c r="D568" s="3"/>
      <c r="M568" s="4"/>
      <c r="N568" s="5"/>
      <c r="S568" s="4"/>
      <c r="T568" s="5"/>
      <c r="V568" s="5"/>
    </row>
    <row r="569" ht="15.75" customHeight="1">
      <c r="D569" s="3"/>
      <c r="M569" s="4"/>
      <c r="N569" s="5"/>
      <c r="S569" s="4"/>
      <c r="T569" s="5"/>
      <c r="V569" s="5"/>
    </row>
    <row r="570" ht="15.75" customHeight="1">
      <c r="D570" s="3"/>
      <c r="M570" s="4"/>
      <c r="N570" s="5"/>
      <c r="S570" s="4"/>
      <c r="T570" s="5"/>
      <c r="V570" s="5"/>
    </row>
    <row r="571" ht="15.75" customHeight="1">
      <c r="D571" s="3"/>
      <c r="M571" s="4"/>
      <c r="N571" s="5"/>
      <c r="S571" s="4"/>
      <c r="T571" s="5"/>
      <c r="V571" s="5"/>
    </row>
    <row r="572" ht="15.75" customHeight="1">
      <c r="D572" s="3"/>
      <c r="M572" s="4"/>
      <c r="N572" s="5"/>
      <c r="S572" s="4"/>
      <c r="T572" s="5"/>
      <c r="V572" s="5"/>
    </row>
    <row r="573" ht="15.75" customHeight="1">
      <c r="D573" s="3"/>
      <c r="M573" s="4"/>
      <c r="N573" s="5"/>
      <c r="S573" s="4"/>
      <c r="T573" s="5"/>
      <c r="V573" s="5"/>
    </row>
    <row r="574" ht="15.75" customHeight="1">
      <c r="D574" s="3"/>
      <c r="M574" s="4"/>
      <c r="N574" s="5"/>
      <c r="S574" s="4"/>
      <c r="T574" s="5"/>
      <c r="V574" s="5"/>
    </row>
    <row r="575" ht="15.75" customHeight="1">
      <c r="D575" s="3"/>
      <c r="M575" s="4"/>
      <c r="N575" s="5"/>
      <c r="S575" s="4"/>
      <c r="T575" s="5"/>
      <c r="V575" s="5"/>
    </row>
    <row r="576" ht="15.75" customHeight="1">
      <c r="D576" s="3"/>
      <c r="M576" s="4"/>
      <c r="N576" s="5"/>
      <c r="S576" s="4"/>
      <c r="T576" s="5"/>
      <c r="V576" s="5"/>
    </row>
    <row r="577" ht="15.75" customHeight="1">
      <c r="D577" s="3"/>
      <c r="M577" s="4"/>
      <c r="N577" s="5"/>
      <c r="S577" s="4"/>
      <c r="T577" s="5"/>
      <c r="V577" s="5"/>
    </row>
    <row r="578" ht="15.75" customHeight="1">
      <c r="D578" s="3"/>
      <c r="M578" s="4"/>
      <c r="N578" s="5"/>
      <c r="S578" s="4"/>
      <c r="T578" s="5"/>
      <c r="V578" s="5"/>
    </row>
    <row r="579" ht="15.75" customHeight="1">
      <c r="D579" s="3"/>
      <c r="M579" s="4"/>
      <c r="N579" s="5"/>
      <c r="S579" s="4"/>
      <c r="T579" s="5"/>
      <c r="V579" s="5"/>
    </row>
    <row r="580" ht="15.75" customHeight="1">
      <c r="D580" s="3"/>
      <c r="M580" s="4"/>
      <c r="N580" s="5"/>
      <c r="S580" s="4"/>
      <c r="T580" s="5"/>
      <c r="V580" s="5"/>
    </row>
    <row r="581" ht="15.75" customHeight="1">
      <c r="D581" s="3"/>
      <c r="M581" s="4"/>
      <c r="N581" s="5"/>
      <c r="S581" s="4"/>
      <c r="T581" s="5"/>
      <c r="V581" s="5"/>
    </row>
    <row r="582" ht="15.75" customHeight="1">
      <c r="D582" s="3"/>
      <c r="M582" s="4"/>
      <c r="N582" s="5"/>
      <c r="S582" s="4"/>
      <c r="T582" s="5"/>
      <c r="V582" s="5"/>
    </row>
    <row r="583" ht="15.75" customHeight="1">
      <c r="D583" s="3"/>
      <c r="M583" s="4"/>
      <c r="N583" s="5"/>
      <c r="S583" s="4"/>
      <c r="T583" s="5"/>
      <c r="V583" s="5"/>
    </row>
    <row r="584" ht="15.75" customHeight="1">
      <c r="D584" s="3"/>
      <c r="M584" s="4"/>
      <c r="N584" s="5"/>
      <c r="S584" s="4"/>
      <c r="T584" s="5"/>
      <c r="V584" s="5"/>
    </row>
    <row r="585" ht="15.75" customHeight="1">
      <c r="D585" s="3"/>
      <c r="M585" s="4"/>
      <c r="N585" s="5"/>
      <c r="S585" s="4"/>
      <c r="T585" s="5"/>
      <c r="V585" s="5"/>
    </row>
    <row r="586" ht="15.75" customHeight="1">
      <c r="D586" s="3"/>
      <c r="M586" s="4"/>
      <c r="N586" s="5"/>
      <c r="S586" s="4"/>
      <c r="T586" s="5"/>
      <c r="V586" s="5"/>
    </row>
    <row r="587" ht="15.75" customHeight="1">
      <c r="D587" s="3"/>
      <c r="M587" s="4"/>
      <c r="N587" s="5"/>
      <c r="S587" s="4"/>
      <c r="T587" s="5"/>
      <c r="V587" s="5"/>
    </row>
    <row r="588" ht="15.75" customHeight="1">
      <c r="D588" s="3"/>
      <c r="M588" s="4"/>
      <c r="N588" s="5"/>
      <c r="S588" s="4"/>
      <c r="T588" s="5"/>
      <c r="V588" s="5"/>
    </row>
    <row r="589" ht="15.75" customHeight="1">
      <c r="D589" s="3"/>
      <c r="M589" s="4"/>
      <c r="N589" s="5"/>
      <c r="S589" s="4"/>
      <c r="T589" s="5"/>
      <c r="V589" s="5"/>
    </row>
    <row r="590" ht="15.75" customHeight="1">
      <c r="D590" s="3"/>
      <c r="M590" s="4"/>
      <c r="N590" s="5"/>
      <c r="S590" s="4"/>
      <c r="T590" s="5"/>
      <c r="V590" s="5"/>
    </row>
    <row r="591" ht="15.75" customHeight="1">
      <c r="D591" s="3"/>
      <c r="M591" s="4"/>
      <c r="N591" s="5"/>
      <c r="S591" s="4"/>
      <c r="T591" s="5"/>
      <c r="V591" s="5"/>
    </row>
    <row r="592" ht="15.75" customHeight="1">
      <c r="D592" s="3"/>
      <c r="M592" s="4"/>
      <c r="N592" s="5"/>
      <c r="S592" s="4"/>
      <c r="T592" s="5"/>
      <c r="V592" s="5"/>
    </row>
    <row r="593" ht="15.75" customHeight="1">
      <c r="D593" s="3"/>
      <c r="M593" s="4"/>
      <c r="N593" s="5"/>
      <c r="S593" s="4"/>
      <c r="T593" s="5"/>
      <c r="V593" s="5"/>
    </row>
    <row r="594" ht="15.75" customHeight="1">
      <c r="D594" s="3"/>
      <c r="M594" s="4"/>
      <c r="N594" s="5"/>
      <c r="S594" s="4"/>
      <c r="T594" s="5"/>
      <c r="V594" s="5"/>
    </row>
    <row r="595" ht="15.75" customHeight="1">
      <c r="D595" s="3"/>
      <c r="M595" s="4"/>
      <c r="N595" s="5"/>
      <c r="S595" s="4"/>
      <c r="T595" s="5"/>
      <c r="V595" s="5"/>
    </row>
    <row r="596" ht="15.75" customHeight="1">
      <c r="D596" s="3"/>
      <c r="M596" s="4"/>
      <c r="N596" s="5"/>
      <c r="S596" s="4"/>
      <c r="T596" s="5"/>
      <c r="V596" s="5"/>
    </row>
    <row r="597" ht="15.75" customHeight="1">
      <c r="D597" s="3"/>
      <c r="M597" s="4"/>
      <c r="N597" s="5"/>
      <c r="S597" s="4"/>
      <c r="T597" s="5"/>
      <c r="V597" s="5"/>
    </row>
    <row r="598" ht="15.75" customHeight="1">
      <c r="D598" s="3"/>
      <c r="M598" s="4"/>
      <c r="N598" s="5"/>
      <c r="S598" s="4"/>
      <c r="T598" s="5"/>
      <c r="V598" s="5"/>
    </row>
    <row r="599" ht="15.75" customHeight="1">
      <c r="D599" s="3"/>
      <c r="M599" s="4"/>
      <c r="N599" s="5"/>
      <c r="S599" s="4"/>
      <c r="T599" s="5"/>
      <c r="V599" s="5"/>
    </row>
    <row r="600" ht="15.75" customHeight="1">
      <c r="D600" s="3"/>
      <c r="M600" s="4"/>
      <c r="N600" s="5"/>
      <c r="S600" s="4"/>
      <c r="T600" s="5"/>
      <c r="V600" s="5"/>
    </row>
    <row r="601" ht="15.75" customHeight="1">
      <c r="D601" s="3"/>
      <c r="M601" s="4"/>
      <c r="N601" s="5"/>
      <c r="S601" s="4"/>
      <c r="T601" s="5"/>
      <c r="V601" s="5"/>
    </row>
    <row r="602" ht="15.75" customHeight="1">
      <c r="D602" s="3"/>
      <c r="M602" s="4"/>
      <c r="N602" s="5"/>
      <c r="S602" s="4"/>
      <c r="T602" s="5"/>
      <c r="V602" s="5"/>
    </row>
    <row r="603" ht="15.75" customHeight="1">
      <c r="D603" s="3"/>
      <c r="M603" s="4"/>
      <c r="N603" s="5"/>
      <c r="S603" s="4"/>
      <c r="T603" s="5"/>
      <c r="V603" s="5"/>
    </row>
    <row r="604" ht="15.75" customHeight="1">
      <c r="D604" s="3"/>
      <c r="M604" s="4"/>
      <c r="N604" s="5"/>
      <c r="S604" s="4"/>
      <c r="T604" s="5"/>
      <c r="V604" s="5"/>
    </row>
    <row r="605" ht="15.75" customHeight="1">
      <c r="D605" s="3"/>
      <c r="M605" s="4"/>
      <c r="N605" s="5"/>
      <c r="S605" s="4"/>
      <c r="T605" s="5"/>
      <c r="V605" s="5"/>
    </row>
    <row r="606" ht="15.75" customHeight="1">
      <c r="D606" s="3"/>
      <c r="M606" s="4"/>
      <c r="N606" s="5"/>
      <c r="S606" s="4"/>
      <c r="T606" s="5"/>
      <c r="V606" s="5"/>
    </row>
    <row r="607" ht="15.75" customHeight="1">
      <c r="D607" s="3"/>
      <c r="M607" s="4"/>
      <c r="N607" s="5"/>
      <c r="S607" s="4"/>
      <c r="T607" s="5"/>
      <c r="V607" s="5"/>
    </row>
    <row r="608" ht="15.75" customHeight="1">
      <c r="D608" s="3"/>
      <c r="M608" s="4"/>
      <c r="N608" s="5"/>
      <c r="S608" s="4"/>
      <c r="T608" s="5"/>
      <c r="V608" s="5"/>
    </row>
    <row r="609" ht="15.75" customHeight="1">
      <c r="D609" s="3"/>
      <c r="M609" s="4"/>
      <c r="N609" s="5"/>
      <c r="S609" s="4"/>
      <c r="T609" s="5"/>
      <c r="V609" s="5"/>
    </row>
    <row r="610" ht="15.75" customHeight="1">
      <c r="D610" s="3"/>
      <c r="M610" s="4"/>
      <c r="N610" s="5"/>
      <c r="S610" s="4"/>
      <c r="T610" s="5"/>
      <c r="V610" s="5"/>
    </row>
    <row r="611" ht="15.75" customHeight="1">
      <c r="D611" s="3"/>
      <c r="M611" s="4"/>
      <c r="N611" s="5"/>
      <c r="S611" s="4"/>
      <c r="T611" s="5"/>
      <c r="V611" s="5"/>
    </row>
    <row r="612" ht="15.75" customHeight="1">
      <c r="D612" s="3"/>
      <c r="M612" s="4"/>
      <c r="N612" s="5"/>
      <c r="S612" s="4"/>
      <c r="T612" s="5"/>
      <c r="V612" s="5"/>
    </row>
    <row r="613" ht="15.75" customHeight="1">
      <c r="D613" s="3"/>
      <c r="M613" s="4"/>
      <c r="N613" s="5"/>
      <c r="S613" s="4"/>
      <c r="T613" s="5"/>
      <c r="V613" s="5"/>
    </row>
    <row r="614" ht="15.75" customHeight="1">
      <c r="D614" s="3"/>
      <c r="M614" s="4"/>
      <c r="N614" s="5"/>
      <c r="S614" s="4"/>
      <c r="T614" s="5"/>
      <c r="V614" s="5"/>
    </row>
    <row r="615" ht="15.75" customHeight="1">
      <c r="D615" s="3"/>
      <c r="M615" s="4"/>
      <c r="N615" s="5"/>
      <c r="S615" s="4"/>
      <c r="T615" s="5"/>
      <c r="V615" s="5"/>
    </row>
    <row r="616" ht="15.75" customHeight="1">
      <c r="D616" s="3"/>
      <c r="M616" s="4"/>
      <c r="N616" s="5"/>
      <c r="S616" s="4"/>
      <c r="T616" s="5"/>
      <c r="V616" s="5"/>
    </row>
    <row r="617" ht="15.75" customHeight="1">
      <c r="D617" s="3"/>
      <c r="M617" s="4"/>
      <c r="N617" s="5"/>
      <c r="S617" s="4"/>
      <c r="T617" s="5"/>
      <c r="V617" s="5"/>
    </row>
    <row r="618" ht="15.75" customHeight="1">
      <c r="D618" s="3"/>
      <c r="M618" s="4"/>
      <c r="N618" s="5"/>
      <c r="S618" s="4"/>
      <c r="T618" s="5"/>
      <c r="V618" s="5"/>
    </row>
    <row r="619" ht="15.75" customHeight="1">
      <c r="D619" s="3"/>
      <c r="M619" s="4"/>
      <c r="N619" s="5"/>
      <c r="S619" s="4"/>
      <c r="T619" s="5"/>
      <c r="V619" s="5"/>
    </row>
    <row r="620" ht="15.75" customHeight="1">
      <c r="D620" s="3"/>
      <c r="M620" s="4"/>
      <c r="N620" s="5"/>
      <c r="S620" s="4"/>
      <c r="T620" s="5"/>
      <c r="V620" s="5"/>
    </row>
    <row r="621" ht="15.75" customHeight="1">
      <c r="D621" s="3"/>
      <c r="M621" s="4"/>
      <c r="N621" s="5"/>
      <c r="S621" s="4"/>
      <c r="T621" s="5"/>
      <c r="V621" s="5"/>
    </row>
    <row r="622" ht="15.75" customHeight="1">
      <c r="D622" s="3"/>
      <c r="M622" s="4"/>
      <c r="N622" s="5"/>
      <c r="S622" s="4"/>
      <c r="T622" s="5"/>
      <c r="V622" s="5"/>
    </row>
    <row r="623" ht="15.75" customHeight="1">
      <c r="D623" s="3"/>
      <c r="M623" s="4"/>
      <c r="N623" s="5"/>
      <c r="S623" s="4"/>
      <c r="T623" s="5"/>
      <c r="V623" s="5"/>
    </row>
    <row r="624" ht="15.75" customHeight="1">
      <c r="D624" s="3"/>
      <c r="M624" s="4"/>
      <c r="N624" s="5"/>
      <c r="S624" s="4"/>
      <c r="T624" s="5"/>
      <c r="V624" s="5"/>
    </row>
    <row r="625" ht="15.75" customHeight="1">
      <c r="D625" s="3"/>
      <c r="M625" s="4"/>
      <c r="N625" s="5"/>
      <c r="S625" s="4"/>
      <c r="T625" s="5"/>
      <c r="V625" s="5"/>
    </row>
    <row r="626" ht="15.75" customHeight="1">
      <c r="D626" s="3"/>
      <c r="M626" s="4"/>
      <c r="N626" s="5"/>
      <c r="S626" s="4"/>
      <c r="T626" s="5"/>
      <c r="V626" s="5"/>
    </row>
    <row r="627" ht="15.75" customHeight="1">
      <c r="D627" s="3"/>
      <c r="M627" s="4"/>
      <c r="N627" s="5"/>
      <c r="S627" s="4"/>
      <c r="T627" s="5"/>
      <c r="V627" s="5"/>
    </row>
    <row r="628" ht="15.75" customHeight="1">
      <c r="D628" s="3"/>
      <c r="M628" s="4"/>
      <c r="N628" s="5"/>
      <c r="S628" s="4"/>
      <c r="T628" s="5"/>
      <c r="V628" s="5"/>
    </row>
    <row r="629" ht="15.75" customHeight="1">
      <c r="D629" s="3"/>
      <c r="M629" s="4"/>
      <c r="N629" s="5"/>
      <c r="S629" s="4"/>
      <c r="T629" s="5"/>
      <c r="V629" s="5"/>
    </row>
    <row r="630" ht="15.75" customHeight="1">
      <c r="D630" s="3"/>
      <c r="M630" s="4"/>
      <c r="N630" s="5"/>
      <c r="S630" s="4"/>
      <c r="T630" s="5"/>
      <c r="V630" s="5"/>
    </row>
    <row r="631" ht="15.75" customHeight="1">
      <c r="D631" s="3"/>
      <c r="M631" s="4"/>
      <c r="N631" s="5"/>
      <c r="S631" s="4"/>
      <c r="T631" s="5"/>
      <c r="V631" s="5"/>
    </row>
    <row r="632" ht="15.75" customHeight="1">
      <c r="D632" s="3"/>
      <c r="M632" s="4"/>
      <c r="N632" s="5"/>
      <c r="S632" s="4"/>
      <c r="T632" s="5"/>
      <c r="V632" s="5"/>
    </row>
    <row r="633" ht="15.75" customHeight="1">
      <c r="D633" s="3"/>
      <c r="M633" s="4"/>
      <c r="N633" s="5"/>
      <c r="S633" s="4"/>
      <c r="T633" s="5"/>
      <c r="V633" s="5"/>
    </row>
    <row r="634" ht="15.75" customHeight="1">
      <c r="D634" s="3"/>
      <c r="M634" s="4"/>
      <c r="N634" s="5"/>
      <c r="S634" s="4"/>
      <c r="T634" s="5"/>
      <c r="V634" s="5"/>
    </row>
    <row r="635" ht="15.75" customHeight="1">
      <c r="D635" s="3"/>
      <c r="M635" s="4"/>
      <c r="N635" s="5"/>
      <c r="S635" s="4"/>
      <c r="T635" s="5"/>
      <c r="V635" s="5"/>
    </row>
    <row r="636" ht="15.75" customHeight="1">
      <c r="D636" s="3"/>
      <c r="M636" s="4"/>
      <c r="N636" s="5"/>
      <c r="S636" s="4"/>
      <c r="T636" s="5"/>
      <c r="V636" s="5"/>
    </row>
    <row r="637" ht="15.75" customHeight="1">
      <c r="D637" s="3"/>
      <c r="M637" s="4"/>
      <c r="N637" s="5"/>
      <c r="S637" s="4"/>
      <c r="T637" s="5"/>
      <c r="V637" s="5"/>
    </row>
    <row r="638" ht="15.75" customHeight="1">
      <c r="D638" s="3"/>
      <c r="M638" s="4"/>
      <c r="N638" s="5"/>
      <c r="S638" s="4"/>
      <c r="T638" s="5"/>
      <c r="V638" s="5"/>
    </row>
    <row r="639" ht="15.75" customHeight="1">
      <c r="D639" s="3"/>
      <c r="M639" s="4"/>
      <c r="N639" s="5"/>
      <c r="S639" s="4"/>
      <c r="T639" s="5"/>
      <c r="V639" s="5"/>
    </row>
    <row r="640" ht="15.75" customHeight="1">
      <c r="D640" s="3"/>
      <c r="M640" s="4"/>
      <c r="N640" s="5"/>
      <c r="S640" s="4"/>
      <c r="T640" s="5"/>
      <c r="V640" s="5"/>
    </row>
    <row r="641" ht="15.75" customHeight="1">
      <c r="D641" s="3"/>
      <c r="M641" s="4"/>
      <c r="N641" s="5"/>
      <c r="S641" s="4"/>
      <c r="T641" s="5"/>
      <c r="V641" s="5"/>
    </row>
    <row r="642" ht="15.75" customHeight="1">
      <c r="D642" s="3"/>
      <c r="M642" s="4"/>
      <c r="N642" s="5"/>
      <c r="S642" s="4"/>
      <c r="T642" s="5"/>
      <c r="V642" s="5"/>
    </row>
    <row r="643" ht="15.75" customHeight="1">
      <c r="D643" s="3"/>
      <c r="M643" s="4"/>
      <c r="N643" s="5"/>
      <c r="S643" s="4"/>
      <c r="T643" s="5"/>
      <c r="V643" s="5"/>
    </row>
    <row r="644" ht="15.75" customHeight="1">
      <c r="D644" s="3"/>
      <c r="M644" s="4"/>
      <c r="N644" s="5"/>
      <c r="S644" s="4"/>
      <c r="T644" s="5"/>
      <c r="V644" s="5"/>
    </row>
    <row r="645" ht="15.75" customHeight="1">
      <c r="D645" s="3"/>
      <c r="M645" s="4"/>
      <c r="N645" s="5"/>
      <c r="S645" s="4"/>
      <c r="T645" s="5"/>
      <c r="V645" s="5"/>
    </row>
    <row r="646" ht="15.75" customHeight="1">
      <c r="D646" s="3"/>
      <c r="M646" s="4"/>
      <c r="N646" s="5"/>
      <c r="S646" s="4"/>
      <c r="T646" s="5"/>
      <c r="V646" s="5"/>
    </row>
    <row r="647" ht="15.75" customHeight="1">
      <c r="D647" s="3"/>
      <c r="M647" s="4"/>
      <c r="N647" s="5"/>
      <c r="S647" s="4"/>
      <c r="T647" s="5"/>
      <c r="V647" s="5"/>
    </row>
    <row r="648" ht="15.75" customHeight="1">
      <c r="D648" s="3"/>
      <c r="M648" s="4"/>
      <c r="N648" s="5"/>
      <c r="S648" s="4"/>
      <c r="T648" s="5"/>
      <c r="V648" s="5"/>
    </row>
    <row r="649" ht="15.75" customHeight="1">
      <c r="D649" s="3"/>
      <c r="M649" s="4"/>
      <c r="N649" s="5"/>
      <c r="S649" s="4"/>
      <c r="T649" s="5"/>
      <c r="V649" s="5"/>
    </row>
    <row r="650" ht="15.75" customHeight="1">
      <c r="D650" s="3"/>
      <c r="M650" s="4"/>
      <c r="N650" s="5"/>
      <c r="S650" s="4"/>
      <c r="T650" s="5"/>
      <c r="V650" s="5"/>
    </row>
    <row r="651" ht="15.75" customHeight="1">
      <c r="D651" s="3"/>
      <c r="M651" s="4"/>
      <c r="N651" s="5"/>
      <c r="S651" s="4"/>
      <c r="T651" s="5"/>
      <c r="V651" s="5"/>
    </row>
    <row r="652" ht="15.75" customHeight="1">
      <c r="D652" s="3"/>
      <c r="M652" s="4"/>
      <c r="N652" s="5"/>
      <c r="S652" s="4"/>
      <c r="T652" s="5"/>
      <c r="V652" s="5"/>
    </row>
    <row r="653" ht="15.75" customHeight="1">
      <c r="D653" s="3"/>
      <c r="M653" s="4"/>
      <c r="N653" s="5"/>
      <c r="S653" s="4"/>
      <c r="T653" s="5"/>
      <c r="V653" s="5"/>
    </row>
    <row r="654" ht="15.75" customHeight="1">
      <c r="D654" s="3"/>
      <c r="M654" s="4"/>
      <c r="N654" s="5"/>
      <c r="S654" s="4"/>
      <c r="T654" s="5"/>
      <c r="V654" s="5"/>
    </row>
    <row r="655" ht="15.75" customHeight="1">
      <c r="D655" s="3"/>
      <c r="M655" s="4"/>
      <c r="N655" s="5"/>
      <c r="S655" s="4"/>
      <c r="T655" s="5"/>
      <c r="V655" s="5"/>
    </row>
    <row r="656" ht="15.75" customHeight="1">
      <c r="D656" s="3"/>
      <c r="M656" s="4"/>
      <c r="N656" s="5"/>
      <c r="S656" s="4"/>
      <c r="T656" s="5"/>
      <c r="V656" s="5"/>
    </row>
    <row r="657" ht="15.75" customHeight="1">
      <c r="D657" s="3"/>
      <c r="M657" s="4"/>
      <c r="N657" s="5"/>
      <c r="S657" s="4"/>
      <c r="T657" s="5"/>
      <c r="V657" s="5"/>
    </row>
    <row r="658" ht="15.75" customHeight="1">
      <c r="D658" s="3"/>
      <c r="M658" s="4"/>
      <c r="N658" s="5"/>
      <c r="S658" s="4"/>
      <c r="T658" s="5"/>
      <c r="V658" s="5"/>
    </row>
    <row r="659" ht="15.75" customHeight="1">
      <c r="D659" s="3"/>
      <c r="M659" s="4"/>
      <c r="N659" s="5"/>
      <c r="S659" s="4"/>
      <c r="T659" s="5"/>
      <c r="V659" s="5"/>
    </row>
    <row r="660" ht="15.75" customHeight="1">
      <c r="D660" s="3"/>
      <c r="M660" s="4"/>
      <c r="N660" s="5"/>
      <c r="S660" s="4"/>
      <c r="T660" s="5"/>
      <c r="V660" s="5"/>
    </row>
    <row r="661" ht="15.75" customHeight="1">
      <c r="D661" s="3"/>
      <c r="M661" s="4"/>
      <c r="N661" s="5"/>
      <c r="S661" s="4"/>
      <c r="T661" s="5"/>
      <c r="V661" s="5"/>
    </row>
    <row r="662" ht="15.75" customHeight="1">
      <c r="D662" s="3"/>
      <c r="M662" s="4"/>
      <c r="N662" s="5"/>
      <c r="S662" s="4"/>
      <c r="T662" s="5"/>
      <c r="V662" s="5"/>
    </row>
    <row r="663" ht="15.75" customHeight="1">
      <c r="D663" s="3"/>
      <c r="M663" s="4"/>
      <c r="N663" s="5"/>
      <c r="S663" s="4"/>
      <c r="T663" s="5"/>
      <c r="V663" s="5"/>
    </row>
    <row r="664" ht="15.75" customHeight="1">
      <c r="D664" s="3"/>
      <c r="M664" s="4"/>
      <c r="N664" s="5"/>
      <c r="S664" s="4"/>
      <c r="T664" s="5"/>
      <c r="V664" s="5"/>
    </row>
    <row r="665" ht="15.75" customHeight="1">
      <c r="D665" s="3"/>
      <c r="M665" s="4"/>
      <c r="N665" s="5"/>
      <c r="S665" s="4"/>
      <c r="T665" s="5"/>
      <c r="V665" s="5"/>
    </row>
    <row r="666" ht="15.75" customHeight="1">
      <c r="D666" s="3"/>
      <c r="M666" s="4"/>
      <c r="N666" s="5"/>
      <c r="S666" s="4"/>
      <c r="T666" s="5"/>
      <c r="V666" s="5"/>
    </row>
    <row r="667" ht="15.75" customHeight="1">
      <c r="D667" s="3"/>
      <c r="M667" s="4"/>
      <c r="N667" s="5"/>
      <c r="S667" s="4"/>
      <c r="T667" s="5"/>
      <c r="V667" s="5"/>
    </row>
    <row r="668" ht="15.75" customHeight="1">
      <c r="D668" s="3"/>
      <c r="M668" s="4"/>
      <c r="N668" s="5"/>
      <c r="S668" s="4"/>
      <c r="T668" s="5"/>
      <c r="V668" s="5"/>
    </row>
    <row r="669" ht="15.75" customHeight="1">
      <c r="D669" s="3"/>
      <c r="M669" s="4"/>
      <c r="N669" s="5"/>
      <c r="S669" s="4"/>
      <c r="T669" s="5"/>
      <c r="V669" s="5"/>
    </row>
    <row r="670" ht="15.75" customHeight="1">
      <c r="D670" s="3"/>
      <c r="M670" s="4"/>
      <c r="N670" s="5"/>
      <c r="S670" s="4"/>
      <c r="T670" s="5"/>
      <c r="V670" s="5"/>
    </row>
    <row r="671" ht="15.75" customHeight="1">
      <c r="D671" s="3"/>
      <c r="M671" s="4"/>
      <c r="N671" s="5"/>
      <c r="S671" s="4"/>
      <c r="T671" s="5"/>
      <c r="V671" s="5"/>
    </row>
    <row r="672" ht="15.75" customHeight="1">
      <c r="D672" s="3"/>
      <c r="M672" s="4"/>
      <c r="N672" s="5"/>
      <c r="S672" s="4"/>
      <c r="T672" s="5"/>
      <c r="V672" s="5"/>
    </row>
    <row r="673" ht="15.75" customHeight="1">
      <c r="D673" s="3"/>
      <c r="M673" s="4"/>
      <c r="N673" s="5"/>
      <c r="S673" s="4"/>
      <c r="T673" s="5"/>
      <c r="V673" s="5"/>
    </row>
    <row r="674" ht="15.75" customHeight="1">
      <c r="D674" s="3"/>
      <c r="M674" s="4"/>
      <c r="N674" s="5"/>
      <c r="S674" s="4"/>
      <c r="T674" s="5"/>
      <c r="V674" s="5"/>
    </row>
    <row r="675" ht="15.75" customHeight="1">
      <c r="D675" s="3"/>
      <c r="M675" s="4"/>
      <c r="N675" s="5"/>
      <c r="S675" s="4"/>
      <c r="T675" s="5"/>
      <c r="V675" s="5"/>
    </row>
    <row r="676" ht="15.75" customHeight="1">
      <c r="D676" s="3"/>
      <c r="M676" s="4"/>
      <c r="N676" s="5"/>
      <c r="S676" s="4"/>
      <c r="T676" s="5"/>
      <c r="V676" s="5"/>
    </row>
    <row r="677" ht="15.75" customHeight="1">
      <c r="D677" s="3"/>
      <c r="M677" s="4"/>
      <c r="N677" s="5"/>
      <c r="S677" s="4"/>
      <c r="T677" s="5"/>
      <c r="V677" s="5"/>
    </row>
    <row r="678" ht="15.75" customHeight="1">
      <c r="D678" s="3"/>
      <c r="M678" s="4"/>
      <c r="N678" s="5"/>
      <c r="S678" s="4"/>
      <c r="T678" s="5"/>
      <c r="V678" s="5"/>
    </row>
    <row r="679" ht="15.75" customHeight="1">
      <c r="D679" s="3"/>
      <c r="M679" s="4"/>
      <c r="N679" s="5"/>
      <c r="S679" s="4"/>
      <c r="T679" s="5"/>
      <c r="V679" s="5"/>
    </row>
    <row r="680" ht="15.75" customHeight="1">
      <c r="D680" s="3"/>
      <c r="M680" s="4"/>
      <c r="N680" s="5"/>
      <c r="S680" s="4"/>
      <c r="T680" s="5"/>
      <c r="V680" s="5"/>
    </row>
    <row r="681" ht="15.75" customHeight="1">
      <c r="D681" s="3"/>
      <c r="M681" s="4"/>
      <c r="N681" s="5"/>
      <c r="S681" s="4"/>
      <c r="T681" s="5"/>
      <c r="V681" s="5"/>
    </row>
    <row r="682" ht="15.75" customHeight="1">
      <c r="D682" s="3"/>
      <c r="M682" s="4"/>
      <c r="N682" s="5"/>
      <c r="S682" s="4"/>
      <c r="T682" s="5"/>
      <c r="V682" s="5"/>
    </row>
    <row r="683" ht="15.75" customHeight="1">
      <c r="D683" s="3"/>
      <c r="M683" s="4"/>
      <c r="N683" s="5"/>
      <c r="S683" s="4"/>
      <c r="T683" s="5"/>
      <c r="V683" s="5"/>
    </row>
    <row r="684" ht="15.75" customHeight="1">
      <c r="D684" s="3"/>
      <c r="M684" s="4"/>
      <c r="N684" s="5"/>
      <c r="S684" s="4"/>
      <c r="T684" s="5"/>
      <c r="V684" s="5"/>
    </row>
    <row r="685" ht="15.75" customHeight="1">
      <c r="D685" s="3"/>
      <c r="M685" s="4"/>
      <c r="N685" s="5"/>
      <c r="S685" s="4"/>
      <c r="T685" s="5"/>
      <c r="V685" s="5"/>
    </row>
    <row r="686" ht="15.75" customHeight="1">
      <c r="D686" s="3"/>
      <c r="M686" s="4"/>
      <c r="N686" s="5"/>
      <c r="S686" s="4"/>
      <c r="T686" s="5"/>
      <c r="V686" s="5"/>
    </row>
    <row r="687" ht="15.75" customHeight="1">
      <c r="D687" s="3"/>
      <c r="M687" s="4"/>
      <c r="N687" s="5"/>
      <c r="S687" s="4"/>
      <c r="T687" s="5"/>
      <c r="V687" s="5"/>
    </row>
    <row r="688" ht="15.75" customHeight="1">
      <c r="D688" s="3"/>
      <c r="M688" s="4"/>
      <c r="N688" s="5"/>
      <c r="S688" s="4"/>
      <c r="T688" s="5"/>
      <c r="V688" s="5"/>
    </row>
    <row r="689" ht="15.75" customHeight="1">
      <c r="D689" s="3"/>
      <c r="M689" s="4"/>
      <c r="N689" s="5"/>
      <c r="S689" s="4"/>
      <c r="T689" s="5"/>
      <c r="V689" s="5"/>
    </row>
    <row r="690" ht="15.75" customHeight="1">
      <c r="D690" s="3"/>
      <c r="M690" s="4"/>
      <c r="N690" s="5"/>
      <c r="S690" s="4"/>
      <c r="T690" s="5"/>
      <c r="V690" s="5"/>
    </row>
    <row r="691" ht="15.75" customHeight="1">
      <c r="D691" s="3"/>
      <c r="M691" s="4"/>
      <c r="N691" s="5"/>
      <c r="S691" s="4"/>
      <c r="T691" s="5"/>
      <c r="V691" s="5"/>
    </row>
    <row r="692" ht="15.75" customHeight="1">
      <c r="D692" s="3"/>
      <c r="M692" s="4"/>
      <c r="N692" s="5"/>
      <c r="S692" s="4"/>
      <c r="T692" s="5"/>
      <c r="V692" s="5"/>
    </row>
    <row r="693" ht="15.75" customHeight="1">
      <c r="D693" s="3"/>
      <c r="M693" s="4"/>
      <c r="N693" s="5"/>
      <c r="S693" s="4"/>
      <c r="T693" s="5"/>
      <c r="V693" s="5"/>
    </row>
    <row r="694" ht="15.75" customHeight="1">
      <c r="D694" s="3"/>
      <c r="M694" s="4"/>
      <c r="N694" s="5"/>
      <c r="S694" s="4"/>
      <c r="T694" s="5"/>
      <c r="V694" s="5"/>
    </row>
    <row r="695" ht="15.75" customHeight="1">
      <c r="D695" s="3"/>
      <c r="M695" s="4"/>
      <c r="N695" s="5"/>
      <c r="S695" s="4"/>
      <c r="T695" s="5"/>
      <c r="V695" s="5"/>
    </row>
    <row r="696" ht="15.75" customHeight="1">
      <c r="D696" s="3"/>
      <c r="M696" s="4"/>
      <c r="N696" s="5"/>
      <c r="S696" s="4"/>
      <c r="T696" s="5"/>
      <c r="V696" s="5"/>
    </row>
    <row r="697" ht="15.75" customHeight="1">
      <c r="D697" s="3"/>
      <c r="M697" s="4"/>
      <c r="N697" s="5"/>
      <c r="S697" s="4"/>
      <c r="T697" s="5"/>
      <c r="V697" s="5"/>
    </row>
    <row r="698" ht="15.75" customHeight="1">
      <c r="D698" s="3"/>
      <c r="M698" s="4"/>
      <c r="N698" s="5"/>
      <c r="S698" s="4"/>
      <c r="T698" s="5"/>
      <c r="V698" s="5"/>
    </row>
    <row r="699" ht="15.75" customHeight="1">
      <c r="D699" s="3"/>
      <c r="M699" s="4"/>
      <c r="N699" s="5"/>
      <c r="S699" s="4"/>
      <c r="T699" s="5"/>
      <c r="V699" s="5"/>
    </row>
    <row r="700" ht="15.75" customHeight="1">
      <c r="D700" s="3"/>
      <c r="M700" s="4"/>
      <c r="N700" s="5"/>
      <c r="S700" s="4"/>
      <c r="T700" s="5"/>
      <c r="V700" s="5"/>
    </row>
    <row r="701" ht="15.75" customHeight="1">
      <c r="D701" s="3"/>
      <c r="M701" s="4"/>
      <c r="N701" s="5"/>
      <c r="S701" s="4"/>
      <c r="T701" s="5"/>
      <c r="V701" s="5"/>
    </row>
    <row r="702" ht="15.75" customHeight="1">
      <c r="D702" s="3"/>
      <c r="M702" s="4"/>
      <c r="N702" s="5"/>
      <c r="S702" s="4"/>
      <c r="T702" s="5"/>
      <c r="V702" s="5"/>
    </row>
    <row r="703" ht="15.75" customHeight="1">
      <c r="D703" s="3"/>
      <c r="M703" s="4"/>
      <c r="N703" s="5"/>
      <c r="S703" s="4"/>
      <c r="T703" s="5"/>
      <c r="V703" s="5"/>
    </row>
    <row r="704" ht="15.75" customHeight="1">
      <c r="D704" s="3"/>
      <c r="M704" s="4"/>
      <c r="N704" s="5"/>
      <c r="S704" s="4"/>
      <c r="T704" s="5"/>
      <c r="V704" s="5"/>
    </row>
    <row r="705" ht="15.75" customHeight="1">
      <c r="D705" s="3"/>
      <c r="M705" s="4"/>
      <c r="N705" s="5"/>
      <c r="S705" s="4"/>
      <c r="T705" s="5"/>
      <c r="V705" s="5"/>
    </row>
    <row r="706" ht="15.75" customHeight="1">
      <c r="D706" s="3"/>
      <c r="M706" s="4"/>
      <c r="N706" s="5"/>
      <c r="S706" s="4"/>
      <c r="T706" s="5"/>
      <c r="V706" s="5"/>
    </row>
    <row r="707" ht="15.75" customHeight="1">
      <c r="D707" s="3"/>
      <c r="M707" s="4"/>
      <c r="N707" s="5"/>
      <c r="S707" s="4"/>
      <c r="T707" s="5"/>
      <c r="V707" s="5"/>
    </row>
    <row r="708" ht="15.75" customHeight="1">
      <c r="D708" s="3"/>
      <c r="M708" s="4"/>
      <c r="N708" s="5"/>
      <c r="S708" s="4"/>
      <c r="T708" s="5"/>
      <c r="V708" s="5"/>
    </row>
    <row r="709" ht="15.75" customHeight="1">
      <c r="D709" s="3"/>
      <c r="M709" s="4"/>
      <c r="N709" s="5"/>
      <c r="S709" s="4"/>
      <c r="T709" s="5"/>
      <c r="V709" s="5"/>
    </row>
    <row r="710" ht="15.75" customHeight="1">
      <c r="D710" s="3"/>
      <c r="M710" s="4"/>
      <c r="N710" s="5"/>
      <c r="S710" s="4"/>
      <c r="T710" s="5"/>
      <c r="V710" s="5"/>
    </row>
    <row r="711" ht="15.75" customHeight="1">
      <c r="D711" s="3"/>
      <c r="M711" s="4"/>
      <c r="N711" s="5"/>
      <c r="S711" s="4"/>
      <c r="T711" s="5"/>
      <c r="V711" s="5"/>
    </row>
    <row r="712" ht="15.75" customHeight="1">
      <c r="D712" s="3"/>
      <c r="M712" s="4"/>
      <c r="N712" s="5"/>
      <c r="S712" s="4"/>
      <c r="T712" s="5"/>
      <c r="V712" s="5"/>
    </row>
    <row r="713" ht="15.75" customHeight="1">
      <c r="D713" s="3"/>
      <c r="M713" s="4"/>
      <c r="N713" s="5"/>
      <c r="S713" s="4"/>
      <c r="T713" s="5"/>
      <c r="V713" s="5"/>
    </row>
    <row r="714" ht="15.75" customHeight="1">
      <c r="D714" s="3"/>
      <c r="M714" s="4"/>
      <c r="N714" s="5"/>
      <c r="S714" s="4"/>
      <c r="T714" s="5"/>
      <c r="V714" s="5"/>
    </row>
    <row r="715" ht="15.75" customHeight="1">
      <c r="D715" s="3"/>
      <c r="M715" s="4"/>
      <c r="N715" s="5"/>
      <c r="S715" s="4"/>
      <c r="T715" s="5"/>
      <c r="V715" s="5"/>
    </row>
    <row r="716" ht="15.75" customHeight="1">
      <c r="D716" s="3"/>
      <c r="M716" s="4"/>
      <c r="N716" s="5"/>
      <c r="S716" s="4"/>
      <c r="T716" s="5"/>
      <c r="V716" s="5"/>
    </row>
    <row r="717" ht="15.75" customHeight="1">
      <c r="D717" s="3"/>
      <c r="M717" s="4"/>
      <c r="N717" s="5"/>
      <c r="S717" s="4"/>
      <c r="T717" s="5"/>
      <c r="V717" s="5"/>
    </row>
    <row r="718" ht="15.75" customHeight="1">
      <c r="D718" s="3"/>
      <c r="M718" s="4"/>
      <c r="N718" s="5"/>
      <c r="S718" s="4"/>
      <c r="T718" s="5"/>
      <c r="V718" s="5"/>
    </row>
    <row r="719" ht="15.75" customHeight="1">
      <c r="D719" s="3"/>
      <c r="M719" s="4"/>
      <c r="N719" s="5"/>
      <c r="S719" s="4"/>
      <c r="T719" s="5"/>
      <c r="V719" s="5"/>
    </row>
    <row r="720" ht="15.75" customHeight="1">
      <c r="D720" s="3"/>
      <c r="M720" s="4"/>
      <c r="N720" s="5"/>
      <c r="S720" s="4"/>
      <c r="T720" s="5"/>
      <c r="V720" s="5"/>
    </row>
    <row r="721" ht="15.75" customHeight="1">
      <c r="D721" s="3"/>
      <c r="M721" s="4"/>
      <c r="N721" s="5"/>
      <c r="S721" s="4"/>
      <c r="T721" s="5"/>
      <c r="V721" s="5"/>
    </row>
    <row r="722" ht="15.75" customHeight="1">
      <c r="D722" s="3"/>
      <c r="M722" s="4"/>
      <c r="N722" s="5"/>
      <c r="S722" s="4"/>
      <c r="T722" s="5"/>
      <c r="V722" s="5"/>
    </row>
    <row r="723" ht="15.75" customHeight="1">
      <c r="D723" s="3"/>
      <c r="M723" s="4"/>
      <c r="N723" s="5"/>
      <c r="S723" s="4"/>
      <c r="T723" s="5"/>
      <c r="V723" s="5"/>
    </row>
    <row r="724" ht="15.75" customHeight="1">
      <c r="D724" s="3"/>
      <c r="M724" s="4"/>
      <c r="N724" s="5"/>
      <c r="S724" s="4"/>
      <c r="T724" s="5"/>
      <c r="V724" s="5"/>
    </row>
    <row r="725" ht="15.75" customHeight="1">
      <c r="D725" s="3"/>
      <c r="M725" s="4"/>
      <c r="N725" s="5"/>
      <c r="S725" s="4"/>
      <c r="T725" s="5"/>
      <c r="V725" s="5"/>
    </row>
    <row r="726" ht="15.75" customHeight="1">
      <c r="D726" s="3"/>
      <c r="M726" s="4"/>
      <c r="N726" s="5"/>
      <c r="S726" s="4"/>
      <c r="T726" s="5"/>
      <c r="V726" s="5"/>
    </row>
    <row r="727" ht="15.75" customHeight="1">
      <c r="D727" s="3"/>
      <c r="M727" s="4"/>
      <c r="N727" s="5"/>
      <c r="S727" s="4"/>
      <c r="T727" s="5"/>
      <c r="V727" s="5"/>
    </row>
    <row r="728" ht="15.75" customHeight="1">
      <c r="D728" s="3"/>
      <c r="M728" s="4"/>
      <c r="N728" s="5"/>
      <c r="S728" s="4"/>
      <c r="T728" s="5"/>
      <c r="V728" s="5"/>
    </row>
    <row r="729" ht="15.75" customHeight="1">
      <c r="D729" s="3"/>
      <c r="M729" s="4"/>
      <c r="N729" s="5"/>
      <c r="S729" s="4"/>
      <c r="T729" s="5"/>
      <c r="V729" s="5"/>
    </row>
    <row r="730" ht="15.75" customHeight="1">
      <c r="D730" s="3"/>
      <c r="M730" s="4"/>
      <c r="N730" s="5"/>
      <c r="S730" s="4"/>
      <c r="T730" s="5"/>
      <c r="V730" s="5"/>
    </row>
    <row r="731" ht="15.75" customHeight="1">
      <c r="D731" s="3"/>
      <c r="M731" s="4"/>
      <c r="N731" s="5"/>
      <c r="S731" s="4"/>
      <c r="T731" s="5"/>
      <c r="V731" s="5"/>
    </row>
    <row r="732" ht="15.75" customHeight="1">
      <c r="D732" s="3"/>
      <c r="M732" s="4"/>
      <c r="N732" s="5"/>
      <c r="S732" s="4"/>
      <c r="T732" s="5"/>
      <c r="V732" s="5"/>
    </row>
    <row r="733" ht="15.75" customHeight="1">
      <c r="D733" s="3"/>
      <c r="M733" s="4"/>
      <c r="N733" s="5"/>
      <c r="S733" s="4"/>
      <c r="T733" s="5"/>
      <c r="V733" s="5"/>
    </row>
    <row r="734" ht="15.75" customHeight="1">
      <c r="D734" s="3"/>
      <c r="M734" s="4"/>
      <c r="N734" s="5"/>
      <c r="S734" s="4"/>
      <c r="T734" s="5"/>
      <c r="V734" s="5"/>
    </row>
    <row r="735" ht="15.75" customHeight="1">
      <c r="D735" s="3"/>
      <c r="M735" s="4"/>
      <c r="N735" s="5"/>
      <c r="S735" s="4"/>
      <c r="T735" s="5"/>
      <c r="V735" s="5"/>
    </row>
    <row r="736" ht="15.75" customHeight="1">
      <c r="D736" s="3"/>
      <c r="M736" s="4"/>
      <c r="N736" s="5"/>
      <c r="S736" s="4"/>
      <c r="T736" s="5"/>
      <c r="V736" s="5"/>
    </row>
    <row r="737" ht="15.75" customHeight="1">
      <c r="D737" s="3"/>
      <c r="M737" s="4"/>
      <c r="N737" s="5"/>
      <c r="S737" s="4"/>
      <c r="T737" s="5"/>
      <c r="V737" s="5"/>
    </row>
    <row r="738" ht="15.75" customHeight="1">
      <c r="D738" s="3"/>
      <c r="M738" s="4"/>
      <c r="N738" s="5"/>
      <c r="S738" s="4"/>
      <c r="T738" s="5"/>
      <c r="V738" s="5"/>
    </row>
    <row r="739" ht="15.75" customHeight="1">
      <c r="D739" s="3"/>
      <c r="M739" s="4"/>
      <c r="N739" s="5"/>
      <c r="S739" s="4"/>
      <c r="T739" s="5"/>
      <c r="V739" s="5"/>
    </row>
    <row r="740" ht="15.75" customHeight="1">
      <c r="D740" s="3"/>
      <c r="M740" s="4"/>
      <c r="N740" s="5"/>
      <c r="S740" s="4"/>
      <c r="T740" s="5"/>
      <c r="V740" s="5"/>
    </row>
    <row r="741" ht="15.75" customHeight="1">
      <c r="D741" s="3"/>
      <c r="M741" s="4"/>
      <c r="N741" s="5"/>
      <c r="S741" s="4"/>
      <c r="T741" s="5"/>
      <c r="V741" s="5"/>
    </row>
    <row r="742" ht="15.75" customHeight="1">
      <c r="D742" s="3"/>
      <c r="M742" s="4"/>
      <c r="N742" s="5"/>
      <c r="S742" s="4"/>
      <c r="T742" s="5"/>
      <c r="V742" s="5"/>
    </row>
    <row r="743" ht="15.75" customHeight="1">
      <c r="D743" s="3"/>
      <c r="M743" s="4"/>
      <c r="N743" s="5"/>
      <c r="S743" s="4"/>
      <c r="T743" s="5"/>
      <c r="V743" s="5"/>
    </row>
    <row r="744" ht="15.75" customHeight="1">
      <c r="D744" s="3"/>
      <c r="M744" s="4"/>
      <c r="N744" s="5"/>
      <c r="S744" s="4"/>
      <c r="T744" s="5"/>
      <c r="V744" s="5"/>
    </row>
    <row r="745" ht="15.75" customHeight="1">
      <c r="D745" s="3"/>
      <c r="M745" s="4"/>
      <c r="N745" s="5"/>
      <c r="S745" s="4"/>
      <c r="T745" s="5"/>
      <c r="V745" s="5"/>
    </row>
    <row r="746" ht="15.75" customHeight="1">
      <c r="D746" s="3"/>
      <c r="M746" s="4"/>
      <c r="N746" s="5"/>
      <c r="S746" s="4"/>
      <c r="T746" s="5"/>
      <c r="V746" s="5"/>
    </row>
    <row r="747" ht="15.75" customHeight="1">
      <c r="D747" s="3"/>
      <c r="M747" s="4"/>
      <c r="N747" s="5"/>
      <c r="S747" s="4"/>
      <c r="T747" s="5"/>
      <c r="V747" s="5"/>
    </row>
    <row r="748" ht="15.75" customHeight="1">
      <c r="D748" s="3"/>
      <c r="M748" s="4"/>
      <c r="N748" s="5"/>
      <c r="S748" s="4"/>
      <c r="T748" s="5"/>
      <c r="V748" s="5"/>
    </row>
    <row r="749" ht="15.75" customHeight="1">
      <c r="D749" s="3"/>
      <c r="M749" s="4"/>
      <c r="N749" s="5"/>
      <c r="S749" s="4"/>
      <c r="T749" s="5"/>
      <c r="V749" s="5"/>
    </row>
    <row r="750" ht="15.75" customHeight="1">
      <c r="D750" s="3"/>
      <c r="M750" s="4"/>
      <c r="N750" s="5"/>
      <c r="S750" s="4"/>
      <c r="T750" s="5"/>
      <c r="V750" s="5"/>
    </row>
    <row r="751" ht="15.75" customHeight="1">
      <c r="D751" s="3"/>
      <c r="M751" s="4"/>
      <c r="N751" s="5"/>
      <c r="S751" s="4"/>
      <c r="T751" s="5"/>
      <c r="V751" s="5"/>
    </row>
    <row r="752" ht="15.75" customHeight="1">
      <c r="D752" s="3"/>
      <c r="M752" s="4"/>
      <c r="N752" s="5"/>
      <c r="S752" s="4"/>
      <c r="T752" s="5"/>
      <c r="V752" s="5"/>
    </row>
    <row r="753" ht="15.75" customHeight="1">
      <c r="D753" s="3"/>
      <c r="M753" s="4"/>
      <c r="N753" s="5"/>
      <c r="S753" s="4"/>
      <c r="T753" s="5"/>
      <c r="V753" s="5"/>
    </row>
    <row r="754" ht="15.75" customHeight="1">
      <c r="D754" s="3"/>
      <c r="M754" s="4"/>
      <c r="N754" s="5"/>
      <c r="S754" s="4"/>
      <c r="T754" s="5"/>
      <c r="V754" s="5"/>
    </row>
    <row r="755" ht="15.75" customHeight="1">
      <c r="D755" s="3"/>
      <c r="M755" s="4"/>
      <c r="N755" s="5"/>
      <c r="S755" s="4"/>
      <c r="T755" s="5"/>
      <c r="V755" s="5"/>
    </row>
    <row r="756" ht="15.75" customHeight="1">
      <c r="D756" s="3"/>
      <c r="M756" s="4"/>
      <c r="N756" s="5"/>
      <c r="S756" s="4"/>
      <c r="T756" s="5"/>
      <c r="V756" s="5"/>
    </row>
    <row r="757" ht="15.75" customHeight="1">
      <c r="D757" s="3"/>
      <c r="M757" s="4"/>
      <c r="N757" s="5"/>
      <c r="S757" s="4"/>
      <c r="T757" s="5"/>
      <c r="V757" s="5"/>
    </row>
    <row r="758" ht="15.75" customHeight="1">
      <c r="D758" s="3"/>
      <c r="M758" s="4"/>
      <c r="N758" s="5"/>
      <c r="S758" s="4"/>
      <c r="T758" s="5"/>
      <c r="V758" s="5"/>
    </row>
    <row r="759" ht="15.75" customHeight="1">
      <c r="D759" s="3"/>
      <c r="M759" s="4"/>
      <c r="N759" s="5"/>
      <c r="S759" s="4"/>
      <c r="T759" s="5"/>
      <c r="V759" s="5"/>
    </row>
    <row r="760" ht="15.75" customHeight="1">
      <c r="D760" s="3"/>
      <c r="M760" s="4"/>
      <c r="N760" s="5"/>
      <c r="S760" s="4"/>
      <c r="T760" s="5"/>
      <c r="V760" s="5"/>
    </row>
    <row r="761" ht="15.75" customHeight="1">
      <c r="D761" s="3"/>
      <c r="M761" s="4"/>
      <c r="N761" s="5"/>
      <c r="S761" s="4"/>
      <c r="T761" s="5"/>
      <c r="V761" s="5"/>
    </row>
    <row r="762" ht="15.75" customHeight="1">
      <c r="D762" s="3"/>
      <c r="M762" s="4"/>
      <c r="N762" s="5"/>
      <c r="S762" s="4"/>
      <c r="T762" s="5"/>
      <c r="V762" s="5"/>
    </row>
    <row r="763" ht="15.75" customHeight="1">
      <c r="D763" s="3"/>
      <c r="M763" s="4"/>
      <c r="N763" s="5"/>
      <c r="S763" s="4"/>
      <c r="T763" s="5"/>
      <c r="V763" s="5"/>
    </row>
    <row r="764" ht="15.75" customHeight="1">
      <c r="D764" s="3"/>
      <c r="M764" s="4"/>
      <c r="N764" s="5"/>
      <c r="S764" s="4"/>
      <c r="T764" s="5"/>
      <c r="V764" s="5"/>
    </row>
    <row r="765" ht="15.75" customHeight="1">
      <c r="D765" s="3"/>
      <c r="M765" s="4"/>
      <c r="N765" s="5"/>
      <c r="S765" s="4"/>
      <c r="T765" s="5"/>
      <c r="V765" s="5"/>
    </row>
    <row r="766" ht="15.75" customHeight="1">
      <c r="D766" s="3"/>
      <c r="M766" s="4"/>
      <c r="N766" s="5"/>
      <c r="S766" s="4"/>
      <c r="T766" s="5"/>
      <c r="V766" s="5"/>
    </row>
    <row r="767" ht="15.75" customHeight="1">
      <c r="D767" s="3"/>
      <c r="M767" s="4"/>
      <c r="N767" s="5"/>
      <c r="S767" s="4"/>
      <c r="T767" s="5"/>
      <c r="V767" s="5"/>
    </row>
    <row r="768" ht="15.75" customHeight="1">
      <c r="D768" s="3"/>
      <c r="M768" s="4"/>
      <c r="N768" s="5"/>
      <c r="S768" s="4"/>
      <c r="T768" s="5"/>
      <c r="V768" s="5"/>
    </row>
    <row r="769" ht="15.75" customHeight="1">
      <c r="D769" s="3"/>
      <c r="M769" s="4"/>
      <c r="N769" s="5"/>
      <c r="S769" s="4"/>
      <c r="T769" s="5"/>
      <c r="V769" s="5"/>
    </row>
    <row r="770" ht="15.75" customHeight="1">
      <c r="D770" s="3"/>
      <c r="M770" s="4"/>
      <c r="N770" s="5"/>
      <c r="S770" s="4"/>
      <c r="T770" s="5"/>
      <c r="V770" s="5"/>
    </row>
    <row r="771" ht="15.75" customHeight="1">
      <c r="D771" s="3"/>
      <c r="M771" s="4"/>
      <c r="N771" s="5"/>
      <c r="S771" s="4"/>
      <c r="T771" s="5"/>
      <c r="V771" s="5"/>
    </row>
    <row r="772" ht="15.75" customHeight="1">
      <c r="D772" s="3"/>
      <c r="M772" s="4"/>
      <c r="N772" s="5"/>
      <c r="S772" s="4"/>
      <c r="T772" s="5"/>
      <c r="V772" s="5"/>
    </row>
    <row r="773" ht="15.75" customHeight="1">
      <c r="D773" s="3"/>
      <c r="M773" s="4"/>
      <c r="N773" s="5"/>
      <c r="S773" s="4"/>
      <c r="T773" s="5"/>
      <c r="V773" s="5"/>
    </row>
    <row r="774" ht="15.75" customHeight="1">
      <c r="D774" s="3"/>
      <c r="M774" s="4"/>
      <c r="N774" s="5"/>
      <c r="S774" s="4"/>
      <c r="T774" s="5"/>
      <c r="V774" s="5"/>
    </row>
    <row r="775" ht="15.75" customHeight="1">
      <c r="D775" s="3"/>
      <c r="M775" s="4"/>
      <c r="N775" s="5"/>
      <c r="S775" s="4"/>
      <c r="T775" s="5"/>
      <c r="V775" s="5"/>
    </row>
    <row r="776" ht="15.75" customHeight="1">
      <c r="D776" s="3"/>
      <c r="M776" s="4"/>
      <c r="N776" s="5"/>
      <c r="S776" s="4"/>
      <c r="T776" s="5"/>
      <c r="V776" s="5"/>
    </row>
    <row r="777" ht="15.75" customHeight="1">
      <c r="D777" s="3"/>
      <c r="M777" s="4"/>
      <c r="N777" s="5"/>
      <c r="S777" s="4"/>
      <c r="T777" s="5"/>
      <c r="V777" s="5"/>
    </row>
    <row r="778" ht="15.75" customHeight="1">
      <c r="D778" s="3"/>
      <c r="M778" s="4"/>
      <c r="N778" s="5"/>
      <c r="S778" s="4"/>
      <c r="T778" s="5"/>
      <c r="V778" s="5"/>
    </row>
    <row r="779" ht="15.75" customHeight="1">
      <c r="D779" s="3"/>
      <c r="M779" s="4"/>
      <c r="N779" s="5"/>
      <c r="S779" s="4"/>
      <c r="T779" s="5"/>
      <c r="V779" s="5"/>
    </row>
    <row r="780" ht="15.75" customHeight="1">
      <c r="D780" s="3"/>
      <c r="M780" s="4"/>
      <c r="N780" s="5"/>
      <c r="S780" s="4"/>
      <c r="T780" s="5"/>
      <c r="V780" s="5"/>
    </row>
    <row r="781" ht="15.75" customHeight="1">
      <c r="D781" s="3"/>
      <c r="M781" s="4"/>
      <c r="N781" s="5"/>
      <c r="S781" s="4"/>
      <c r="T781" s="5"/>
      <c r="V781" s="5"/>
    </row>
    <row r="782" ht="15.75" customHeight="1">
      <c r="D782" s="3"/>
      <c r="M782" s="4"/>
      <c r="N782" s="5"/>
      <c r="S782" s="4"/>
      <c r="T782" s="5"/>
      <c r="V782" s="5"/>
    </row>
    <row r="783" ht="15.75" customHeight="1">
      <c r="D783" s="3"/>
      <c r="M783" s="4"/>
      <c r="N783" s="5"/>
      <c r="S783" s="4"/>
      <c r="T783" s="5"/>
      <c r="V783" s="5"/>
    </row>
    <row r="784" ht="15.75" customHeight="1">
      <c r="D784" s="3"/>
      <c r="M784" s="4"/>
      <c r="N784" s="5"/>
      <c r="S784" s="4"/>
      <c r="T784" s="5"/>
      <c r="V784" s="5"/>
    </row>
    <row r="785" ht="15.75" customHeight="1">
      <c r="D785" s="3"/>
      <c r="M785" s="4"/>
      <c r="N785" s="5"/>
      <c r="S785" s="4"/>
      <c r="T785" s="5"/>
      <c r="V785" s="5"/>
    </row>
    <row r="786" ht="15.75" customHeight="1">
      <c r="D786" s="3"/>
      <c r="M786" s="4"/>
      <c r="N786" s="5"/>
      <c r="S786" s="4"/>
      <c r="T786" s="5"/>
      <c r="V786" s="5"/>
    </row>
    <row r="787" ht="15.75" customHeight="1">
      <c r="D787" s="3"/>
      <c r="M787" s="4"/>
      <c r="N787" s="5"/>
      <c r="S787" s="4"/>
      <c r="T787" s="5"/>
      <c r="V787" s="5"/>
    </row>
    <row r="788" ht="15.75" customHeight="1">
      <c r="D788" s="3"/>
      <c r="M788" s="4"/>
      <c r="N788" s="5"/>
      <c r="S788" s="4"/>
      <c r="T788" s="5"/>
      <c r="V788" s="5"/>
    </row>
    <row r="789" ht="15.75" customHeight="1">
      <c r="D789" s="3"/>
      <c r="M789" s="4"/>
      <c r="N789" s="5"/>
      <c r="S789" s="4"/>
      <c r="T789" s="5"/>
      <c r="V789" s="5"/>
    </row>
    <row r="790" ht="15.75" customHeight="1">
      <c r="D790" s="3"/>
      <c r="M790" s="4"/>
      <c r="N790" s="5"/>
      <c r="S790" s="4"/>
      <c r="T790" s="5"/>
      <c r="V790" s="5"/>
    </row>
    <row r="791" ht="15.75" customHeight="1">
      <c r="D791" s="3"/>
      <c r="M791" s="4"/>
      <c r="N791" s="5"/>
      <c r="S791" s="4"/>
      <c r="T791" s="5"/>
      <c r="V791" s="5"/>
    </row>
    <row r="792" ht="15.75" customHeight="1">
      <c r="D792" s="3"/>
      <c r="M792" s="4"/>
      <c r="N792" s="5"/>
      <c r="S792" s="4"/>
      <c r="T792" s="5"/>
      <c r="V792" s="5"/>
    </row>
    <row r="793" ht="15.75" customHeight="1">
      <c r="D793" s="3"/>
      <c r="M793" s="4"/>
      <c r="N793" s="5"/>
      <c r="S793" s="4"/>
      <c r="T793" s="5"/>
      <c r="V793" s="5"/>
    </row>
    <row r="794" ht="15.75" customHeight="1">
      <c r="D794" s="3"/>
      <c r="M794" s="4"/>
      <c r="N794" s="5"/>
      <c r="S794" s="4"/>
      <c r="T794" s="5"/>
      <c r="V794" s="5"/>
    </row>
    <row r="795" ht="15.75" customHeight="1">
      <c r="D795" s="3"/>
      <c r="M795" s="4"/>
      <c r="N795" s="5"/>
      <c r="S795" s="4"/>
      <c r="T795" s="5"/>
      <c r="V795" s="5"/>
    </row>
    <row r="796" ht="15.75" customHeight="1">
      <c r="D796" s="3"/>
      <c r="M796" s="4"/>
      <c r="N796" s="5"/>
      <c r="S796" s="4"/>
      <c r="T796" s="5"/>
      <c r="V796" s="5"/>
    </row>
    <row r="797" ht="15.75" customHeight="1">
      <c r="D797" s="3"/>
      <c r="M797" s="4"/>
      <c r="N797" s="5"/>
      <c r="S797" s="4"/>
      <c r="T797" s="5"/>
      <c r="V797" s="5"/>
    </row>
    <row r="798" ht="15.75" customHeight="1">
      <c r="D798" s="3"/>
      <c r="M798" s="4"/>
      <c r="N798" s="5"/>
      <c r="S798" s="4"/>
      <c r="T798" s="5"/>
      <c r="V798" s="5"/>
    </row>
    <row r="799" ht="15.75" customHeight="1">
      <c r="D799" s="3"/>
      <c r="M799" s="4"/>
      <c r="N799" s="5"/>
      <c r="S799" s="4"/>
      <c r="T799" s="5"/>
      <c r="V799" s="5"/>
    </row>
    <row r="800" ht="15.75" customHeight="1">
      <c r="D800" s="3"/>
      <c r="M800" s="4"/>
      <c r="N800" s="5"/>
      <c r="S800" s="4"/>
      <c r="T800" s="5"/>
      <c r="V800" s="5"/>
    </row>
    <row r="801" ht="15.75" customHeight="1">
      <c r="D801" s="3"/>
      <c r="M801" s="4"/>
      <c r="N801" s="5"/>
      <c r="S801" s="4"/>
      <c r="T801" s="5"/>
      <c r="V801" s="5"/>
    </row>
    <row r="802" ht="15.75" customHeight="1">
      <c r="D802" s="3"/>
      <c r="M802" s="4"/>
      <c r="N802" s="5"/>
      <c r="S802" s="4"/>
      <c r="T802" s="5"/>
      <c r="V802" s="5"/>
    </row>
    <row r="803" ht="15.75" customHeight="1">
      <c r="D803" s="3"/>
      <c r="M803" s="4"/>
      <c r="N803" s="5"/>
      <c r="S803" s="4"/>
      <c r="T803" s="5"/>
      <c r="V803" s="5"/>
    </row>
    <row r="804" ht="15.75" customHeight="1">
      <c r="D804" s="3"/>
      <c r="M804" s="4"/>
      <c r="N804" s="5"/>
      <c r="S804" s="4"/>
      <c r="T804" s="5"/>
      <c r="V804" s="5"/>
    </row>
    <row r="805" ht="15.75" customHeight="1">
      <c r="D805" s="3"/>
      <c r="M805" s="4"/>
      <c r="N805" s="5"/>
      <c r="S805" s="4"/>
      <c r="T805" s="5"/>
      <c r="V805" s="5"/>
    </row>
    <row r="806" ht="15.75" customHeight="1">
      <c r="D806" s="3"/>
      <c r="M806" s="4"/>
      <c r="N806" s="5"/>
      <c r="S806" s="4"/>
      <c r="T806" s="5"/>
      <c r="V806" s="5"/>
    </row>
    <row r="807" ht="15.75" customHeight="1">
      <c r="D807" s="3"/>
      <c r="M807" s="4"/>
      <c r="N807" s="5"/>
      <c r="S807" s="4"/>
      <c r="T807" s="5"/>
      <c r="V807" s="5"/>
    </row>
    <row r="808" ht="15.75" customHeight="1">
      <c r="D808" s="3"/>
      <c r="M808" s="4"/>
      <c r="N808" s="5"/>
      <c r="S808" s="4"/>
      <c r="T808" s="5"/>
      <c r="V808" s="5"/>
    </row>
    <row r="809" ht="15.75" customHeight="1">
      <c r="D809" s="3"/>
      <c r="M809" s="4"/>
      <c r="N809" s="5"/>
      <c r="S809" s="4"/>
      <c r="T809" s="5"/>
      <c r="V809" s="5"/>
    </row>
    <row r="810" ht="15.75" customHeight="1">
      <c r="D810" s="3"/>
      <c r="M810" s="4"/>
      <c r="N810" s="5"/>
      <c r="S810" s="4"/>
      <c r="T810" s="5"/>
      <c r="V810" s="5"/>
    </row>
    <row r="811" ht="15.75" customHeight="1">
      <c r="D811" s="3"/>
      <c r="M811" s="4"/>
      <c r="N811" s="5"/>
      <c r="S811" s="4"/>
      <c r="T811" s="5"/>
      <c r="V811" s="5"/>
    </row>
    <row r="812" ht="15.75" customHeight="1">
      <c r="D812" s="3"/>
      <c r="M812" s="4"/>
      <c r="N812" s="5"/>
      <c r="S812" s="4"/>
      <c r="T812" s="5"/>
      <c r="V812" s="5"/>
    </row>
    <row r="813" ht="15.75" customHeight="1">
      <c r="D813" s="3"/>
      <c r="M813" s="4"/>
      <c r="N813" s="5"/>
      <c r="S813" s="4"/>
      <c r="T813" s="5"/>
      <c r="V813" s="5"/>
    </row>
    <row r="814" ht="15.75" customHeight="1">
      <c r="D814" s="3"/>
      <c r="M814" s="4"/>
      <c r="N814" s="5"/>
      <c r="S814" s="4"/>
      <c r="T814" s="5"/>
      <c r="V814" s="5"/>
    </row>
    <row r="815" ht="15.75" customHeight="1">
      <c r="D815" s="3"/>
      <c r="M815" s="4"/>
      <c r="N815" s="5"/>
      <c r="S815" s="4"/>
      <c r="T815" s="5"/>
      <c r="V815" s="5"/>
    </row>
    <row r="816" ht="15.75" customHeight="1">
      <c r="D816" s="3"/>
      <c r="M816" s="4"/>
      <c r="N816" s="5"/>
      <c r="S816" s="4"/>
      <c r="T816" s="5"/>
      <c r="V816" s="5"/>
    </row>
    <row r="817" ht="15.75" customHeight="1">
      <c r="D817" s="3"/>
      <c r="M817" s="4"/>
      <c r="N817" s="5"/>
      <c r="S817" s="4"/>
      <c r="T817" s="5"/>
      <c r="V817" s="5"/>
    </row>
    <row r="818" ht="15.75" customHeight="1">
      <c r="D818" s="3"/>
      <c r="M818" s="4"/>
      <c r="N818" s="5"/>
      <c r="S818" s="4"/>
      <c r="T818" s="5"/>
      <c r="V818" s="5"/>
    </row>
    <row r="819" ht="15.75" customHeight="1">
      <c r="D819" s="3"/>
      <c r="M819" s="4"/>
      <c r="N819" s="5"/>
      <c r="S819" s="4"/>
      <c r="T819" s="5"/>
      <c r="V819" s="5"/>
    </row>
    <row r="820" ht="15.75" customHeight="1">
      <c r="D820" s="3"/>
      <c r="M820" s="4"/>
      <c r="N820" s="5"/>
      <c r="S820" s="4"/>
      <c r="T820" s="5"/>
      <c r="V820" s="5"/>
    </row>
    <row r="821" ht="15.75" customHeight="1">
      <c r="D821" s="3"/>
      <c r="M821" s="4"/>
      <c r="N821" s="5"/>
      <c r="S821" s="4"/>
      <c r="T821" s="5"/>
      <c r="V821" s="5"/>
    </row>
    <row r="822" ht="15.75" customHeight="1">
      <c r="D822" s="3"/>
      <c r="M822" s="4"/>
      <c r="N822" s="5"/>
      <c r="S822" s="4"/>
      <c r="T822" s="5"/>
      <c r="V822" s="5"/>
    </row>
    <row r="823" ht="15.75" customHeight="1">
      <c r="D823" s="3"/>
      <c r="M823" s="4"/>
      <c r="N823" s="5"/>
      <c r="S823" s="4"/>
      <c r="T823" s="5"/>
      <c r="V823" s="5"/>
    </row>
    <row r="824" ht="15.75" customHeight="1">
      <c r="D824" s="3"/>
      <c r="M824" s="4"/>
      <c r="N824" s="5"/>
      <c r="S824" s="4"/>
      <c r="T824" s="5"/>
      <c r="V824" s="5"/>
    </row>
    <row r="825" ht="15.75" customHeight="1">
      <c r="D825" s="3"/>
      <c r="M825" s="4"/>
      <c r="N825" s="5"/>
      <c r="S825" s="4"/>
      <c r="T825" s="5"/>
      <c r="V825" s="5"/>
    </row>
    <row r="826" ht="15.75" customHeight="1">
      <c r="D826" s="3"/>
      <c r="M826" s="4"/>
      <c r="N826" s="5"/>
      <c r="S826" s="4"/>
      <c r="T826" s="5"/>
      <c r="V826" s="5"/>
    </row>
    <row r="827" ht="15.75" customHeight="1">
      <c r="D827" s="3"/>
      <c r="M827" s="4"/>
      <c r="N827" s="5"/>
      <c r="S827" s="4"/>
      <c r="T827" s="5"/>
      <c r="V827" s="5"/>
    </row>
    <row r="828" ht="15.75" customHeight="1">
      <c r="D828" s="3"/>
      <c r="M828" s="4"/>
      <c r="N828" s="5"/>
      <c r="S828" s="4"/>
      <c r="T828" s="5"/>
      <c r="V828" s="5"/>
    </row>
    <row r="829" ht="15.75" customHeight="1">
      <c r="D829" s="3"/>
      <c r="M829" s="4"/>
      <c r="N829" s="5"/>
      <c r="S829" s="4"/>
      <c r="T829" s="5"/>
      <c r="V829" s="5"/>
    </row>
    <row r="830" ht="15.75" customHeight="1">
      <c r="D830" s="3"/>
      <c r="M830" s="4"/>
      <c r="N830" s="5"/>
      <c r="S830" s="4"/>
      <c r="T830" s="5"/>
      <c r="V830" s="5"/>
    </row>
    <row r="831" ht="15.75" customHeight="1">
      <c r="D831" s="3"/>
      <c r="M831" s="4"/>
      <c r="N831" s="5"/>
      <c r="S831" s="4"/>
      <c r="T831" s="5"/>
      <c r="V831" s="5"/>
    </row>
    <row r="832" ht="15.75" customHeight="1">
      <c r="D832" s="3"/>
      <c r="M832" s="4"/>
      <c r="N832" s="5"/>
      <c r="S832" s="4"/>
      <c r="T832" s="5"/>
      <c r="V832" s="5"/>
    </row>
    <row r="833" ht="15.75" customHeight="1">
      <c r="D833" s="3"/>
      <c r="M833" s="4"/>
      <c r="N833" s="5"/>
      <c r="S833" s="4"/>
      <c r="T833" s="5"/>
      <c r="V833" s="5"/>
    </row>
    <row r="834" ht="15.75" customHeight="1">
      <c r="D834" s="3"/>
      <c r="M834" s="4"/>
      <c r="N834" s="5"/>
      <c r="S834" s="4"/>
      <c r="T834" s="5"/>
      <c r="V834" s="5"/>
    </row>
    <row r="835" ht="15.75" customHeight="1">
      <c r="D835" s="3"/>
      <c r="M835" s="4"/>
      <c r="N835" s="5"/>
      <c r="S835" s="4"/>
      <c r="T835" s="5"/>
      <c r="V835" s="5"/>
    </row>
    <row r="836" ht="15.75" customHeight="1">
      <c r="D836" s="3"/>
      <c r="M836" s="4"/>
      <c r="N836" s="5"/>
      <c r="S836" s="4"/>
      <c r="T836" s="5"/>
      <c r="V836" s="5"/>
    </row>
    <row r="837" ht="15.75" customHeight="1">
      <c r="D837" s="3"/>
      <c r="M837" s="4"/>
      <c r="N837" s="5"/>
      <c r="S837" s="4"/>
      <c r="T837" s="5"/>
      <c r="V837" s="5"/>
    </row>
    <row r="838" ht="15.75" customHeight="1">
      <c r="D838" s="3"/>
      <c r="M838" s="4"/>
      <c r="N838" s="5"/>
      <c r="S838" s="4"/>
      <c r="T838" s="5"/>
      <c r="V838" s="5"/>
    </row>
    <row r="839" ht="15.75" customHeight="1">
      <c r="D839" s="3"/>
      <c r="M839" s="4"/>
      <c r="N839" s="5"/>
      <c r="S839" s="4"/>
      <c r="T839" s="5"/>
      <c r="V839" s="5"/>
    </row>
    <row r="840" ht="15.75" customHeight="1">
      <c r="D840" s="3"/>
      <c r="M840" s="4"/>
      <c r="N840" s="5"/>
      <c r="S840" s="4"/>
      <c r="T840" s="5"/>
      <c r="V840" s="5"/>
    </row>
    <row r="841" ht="15.75" customHeight="1">
      <c r="D841" s="3"/>
      <c r="M841" s="4"/>
      <c r="N841" s="5"/>
      <c r="S841" s="4"/>
      <c r="T841" s="5"/>
      <c r="V841" s="5"/>
    </row>
    <row r="842" ht="15.75" customHeight="1">
      <c r="D842" s="3"/>
      <c r="M842" s="4"/>
      <c r="N842" s="5"/>
      <c r="S842" s="4"/>
      <c r="T842" s="5"/>
      <c r="V842" s="5"/>
    </row>
    <row r="843" ht="15.75" customHeight="1">
      <c r="D843" s="3"/>
      <c r="M843" s="4"/>
      <c r="N843" s="5"/>
      <c r="S843" s="4"/>
      <c r="T843" s="5"/>
      <c r="V843" s="5"/>
    </row>
    <row r="844" ht="15.75" customHeight="1">
      <c r="D844" s="3"/>
      <c r="M844" s="4"/>
      <c r="N844" s="5"/>
      <c r="S844" s="4"/>
      <c r="T844" s="5"/>
      <c r="V844" s="5"/>
    </row>
    <row r="845" ht="15.75" customHeight="1">
      <c r="D845" s="3"/>
      <c r="M845" s="4"/>
      <c r="N845" s="5"/>
      <c r="S845" s="4"/>
      <c r="T845" s="5"/>
      <c r="V845" s="5"/>
    </row>
    <row r="846" ht="15.75" customHeight="1">
      <c r="D846" s="3"/>
      <c r="M846" s="4"/>
      <c r="N846" s="5"/>
      <c r="S846" s="4"/>
      <c r="T846" s="5"/>
      <c r="V846" s="5"/>
    </row>
    <row r="847" ht="15.75" customHeight="1">
      <c r="D847" s="3"/>
      <c r="M847" s="4"/>
      <c r="N847" s="5"/>
      <c r="S847" s="4"/>
      <c r="T847" s="5"/>
      <c r="V847" s="5"/>
    </row>
    <row r="848" ht="15.75" customHeight="1">
      <c r="D848" s="3"/>
      <c r="M848" s="4"/>
      <c r="N848" s="5"/>
      <c r="S848" s="4"/>
      <c r="T848" s="5"/>
      <c r="V848" s="5"/>
    </row>
    <row r="849" ht="15.75" customHeight="1">
      <c r="D849" s="3"/>
      <c r="M849" s="4"/>
      <c r="N849" s="5"/>
      <c r="S849" s="4"/>
      <c r="T849" s="5"/>
      <c r="V849" s="5"/>
    </row>
    <row r="850" ht="15.75" customHeight="1">
      <c r="D850" s="3"/>
      <c r="M850" s="4"/>
      <c r="N850" s="5"/>
      <c r="S850" s="4"/>
      <c r="T850" s="5"/>
      <c r="V850" s="5"/>
    </row>
    <row r="851" ht="15.75" customHeight="1">
      <c r="D851" s="3"/>
      <c r="M851" s="4"/>
      <c r="N851" s="5"/>
      <c r="S851" s="4"/>
      <c r="T851" s="5"/>
      <c r="V851" s="5"/>
    </row>
    <row r="852" ht="15.75" customHeight="1">
      <c r="D852" s="3"/>
      <c r="M852" s="4"/>
      <c r="N852" s="5"/>
      <c r="S852" s="4"/>
      <c r="T852" s="5"/>
      <c r="V852" s="5"/>
    </row>
    <row r="853" ht="15.75" customHeight="1">
      <c r="D853" s="3"/>
      <c r="M853" s="4"/>
      <c r="N853" s="5"/>
      <c r="S853" s="4"/>
      <c r="T853" s="5"/>
      <c r="V853" s="5"/>
    </row>
    <row r="854" ht="15.75" customHeight="1">
      <c r="D854" s="3"/>
      <c r="M854" s="4"/>
      <c r="N854" s="5"/>
      <c r="S854" s="4"/>
      <c r="T854" s="5"/>
      <c r="V854" s="5"/>
    </row>
    <row r="855" ht="15.75" customHeight="1">
      <c r="D855" s="3"/>
      <c r="M855" s="4"/>
      <c r="N855" s="5"/>
      <c r="S855" s="4"/>
      <c r="T855" s="5"/>
      <c r="V855" s="5"/>
    </row>
    <row r="856" ht="15.75" customHeight="1">
      <c r="D856" s="3"/>
      <c r="M856" s="4"/>
      <c r="N856" s="5"/>
      <c r="S856" s="4"/>
      <c r="T856" s="5"/>
      <c r="V856" s="5"/>
    </row>
    <row r="857" ht="15.75" customHeight="1">
      <c r="D857" s="3"/>
      <c r="M857" s="4"/>
      <c r="N857" s="5"/>
      <c r="S857" s="4"/>
      <c r="T857" s="5"/>
      <c r="V857" s="5"/>
    </row>
    <row r="858" ht="15.75" customHeight="1">
      <c r="D858" s="3"/>
      <c r="M858" s="4"/>
      <c r="N858" s="5"/>
      <c r="S858" s="4"/>
      <c r="T858" s="5"/>
      <c r="V858" s="5"/>
    </row>
    <row r="859" ht="15.75" customHeight="1">
      <c r="D859" s="3"/>
      <c r="M859" s="4"/>
      <c r="N859" s="5"/>
      <c r="S859" s="4"/>
      <c r="T859" s="5"/>
      <c r="V859" s="5"/>
    </row>
    <row r="860" ht="15.75" customHeight="1">
      <c r="D860" s="3"/>
      <c r="M860" s="4"/>
      <c r="N860" s="5"/>
      <c r="S860" s="4"/>
      <c r="T860" s="5"/>
      <c r="V860" s="5"/>
    </row>
    <row r="861" ht="15.75" customHeight="1">
      <c r="D861" s="3"/>
      <c r="M861" s="4"/>
      <c r="N861" s="5"/>
      <c r="S861" s="4"/>
      <c r="T861" s="5"/>
      <c r="V861" s="5"/>
    </row>
    <row r="862" ht="15.75" customHeight="1">
      <c r="D862" s="3"/>
      <c r="M862" s="4"/>
      <c r="N862" s="5"/>
      <c r="S862" s="4"/>
      <c r="T862" s="5"/>
      <c r="V862" s="5"/>
    </row>
    <row r="863" ht="15.75" customHeight="1">
      <c r="D863" s="3"/>
      <c r="M863" s="4"/>
      <c r="N863" s="5"/>
      <c r="S863" s="4"/>
      <c r="T863" s="5"/>
      <c r="V863" s="5"/>
    </row>
    <row r="864" ht="15.75" customHeight="1">
      <c r="D864" s="3"/>
      <c r="M864" s="4"/>
      <c r="N864" s="5"/>
      <c r="S864" s="4"/>
      <c r="T864" s="5"/>
      <c r="V864" s="5"/>
    </row>
    <row r="865" ht="15.75" customHeight="1">
      <c r="D865" s="3"/>
      <c r="M865" s="4"/>
      <c r="N865" s="5"/>
      <c r="S865" s="4"/>
      <c r="T865" s="5"/>
      <c r="V865" s="5"/>
    </row>
    <row r="866" ht="15.75" customHeight="1">
      <c r="D866" s="3"/>
      <c r="M866" s="4"/>
      <c r="N866" s="5"/>
      <c r="S866" s="4"/>
      <c r="T866" s="5"/>
      <c r="V866" s="5"/>
    </row>
    <row r="867" ht="15.75" customHeight="1">
      <c r="D867" s="3"/>
      <c r="M867" s="4"/>
      <c r="N867" s="5"/>
      <c r="S867" s="4"/>
      <c r="T867" s="5"/>
      <c r="V867" s="5"/>
    </row>
    <row r="868" ht="15.75" customHeight="1">
      <c r="D868" s="3"/>
      <c r="M868" s="4"/>
      <c r="N868" s="5"/>
      <c r="S868" s="4"/>
      <c r="T868" s="5"/>
      <c r="V868" s="5"/>
    </row>
    <row r="869" ht="15.75" customHeight="1">
      <c r="D869" s="3"/>
      <c r="M869" s="4"/>
      <c r="N869" s="5"/>
      <c r="S869" s="4"/>
      <c r="T869" s="5"/>
      <c r="V869" s="5"/>
    </row>
    <row r="870" ht="15.75" customHeight="1">
      <c r="D870" s="3"/>
      <c r="M870" s="4"/>
      <c r="N870" s="5"/>
      <c r="S870" s="4"/>
      <c r="T870" s="5"/>
      <c r="V870" s="5"/>
    </row>
    <row r="871" ht="15.75" customHeight="1">
      <c r="D871" s="3"/>
      <c r="M871" s="4"/>
      <c r="N871" s="5"/>
      <c r="S871" s="4"/>
      <c r="T871" s="5"/>
      <c r="V871" s="5"/>
    </row>
    <row r="872" ht="15.75" customHeight="1">
      <c r="D872" s="3"/>
      <c r="M872" s="4"/>
      <c r="N872" s="5"/>
      <c r="S872" s="4"/>
      <c r="T872" s="5"/>
      <c r="V872" s="5"/>
    </row>
    <row r="873" ht="15.75" customHeight="1">
      <c r="D873" s="3"/>
      <c r="M873" s="4"/>
      <c r="N873" s="5"/>
      <c r="S873" s="4"/>
      <c r="T873" s="5"/>
      <c r="V873" s="5"/>
    </row>
    <row r="874" ht="15.75" customHeight="1">
      <c r="D874" s="3"/>
      <c r="M874" s="4"/>
      <c r="N874" s="5"/>
      <c r="S874" s="4"/>
      <c r="T874" s="5"/>
      <c r="V874" s="5"/>
    </row>
    <row r="875" ht="15.75" customHeight="1">
      <c r="D875" s="3"/>
      <c r="M875" s="4"/>
      <c r="N875" s="5"/>
      <c r="S875" s="4"/>
      <c r="T875" s="5"/>
      <c r="V875" s="5"/>
    </row>
    <row r="876" ht="15.75" customHeight="1">
      <c r="D876" s="3"/>
      <c r="M876" s="4"/>
      <c r="N876" s="5"/>
      <c r="S876" s="4"/>
      <c r="T876" s="5"/>
      <c r="V876" s="5"/>
    </row>
    <row r="877" ht="15.75" customHeight="1">
      <c r="D877" s="3"/>
      <c r="M877" s="4"/>
      <c r="N877" s="5"/>
      <c r="S877" s="4"/>
      <c r="T877" s="5"/>
      <c r="V877" s="5"/>
    </row>
    <row r="878" ht="15.75" customHeight="1">
      <c r="D878" s="3"/>
      <c r="M878" s="4"/>
      <c r="N878" s="5"/>
      <c r="S878" s="4"/>
      <c r="T878" s="5"/>
      <c r="V878" s="5"/>
    </row>
    <row r="879" ht="15.75" customHeight="1">
      <c r="D879" s="3"/>
      <c r="M879" s="4"/>
      <c r="N879" s="5"/>
      <c r="S879" s="4"/>
      <c r="T879" s="5"/>
      <c r="V879" s="5"/>
    </row>
    <row r="880" ht="15.75" customHeight="1">
      <c r="D880" s="3"/>
      <c r="M880" s="4"/>
      <c r="N880" s="5"/>
      <c r="S880" s="4"/>
      <c r="T880" s="5"/>
      <c r="V880" s="5"/>
    </row>
    <row r="881" ht="15.75" customHeight="1">
      <c r="D881" s="3"/>
      <c r="M881" s="4"/>
      <c r="N881" s="5"/>
      <c r="S881" s="4"/>
      <c r="T881" s="5"/>
      <c r="V881" s="5"/>
    </row>
    <row r="882" ht="15.75" customHeight="1">
      <c r="D882" s="3"/>
      <c r="M882" s="4"/>
      <c r="N882" s="5"/>
      <c r="S882" s="4"/>
      <c r="T882" s="5"/>
      <c r="V882" s="5"/>
    </row>
    <row r="883" ht="15.75" customHeight="1">
      <c r="D883" s="3"/>
      <c r="M883" s="4"/>
      <c r="N883" s="5"/>
      <c r="S883" s="4"/>
      <c r="T883" s="5"/>
      <c r="V883" s="5"/>
    </row>
    <row r="884" ht="15.75" customHeight="1">
      <c r="D884" s="3"/>
      <c r="M884" s="4"/>
      <c r="N884" s="5"/>
      <c r="S884" s="4"/>
      <c r="T884" s="5"/>
      <c r="V884" s="5"/>
    </row>
    <row r="885" ht="15.75" customHeight="1">
      <c r="D885" s="3"/>
      <c r="M885" s="4"/>
      <c r="N885" s="5"/>
      <c r="S885" s="4"/>
      <c r="T885" s="5"/>
      <c r="V885" s="5"/>
    </row>
    <row r="886" ht="15.75" customHeight="1">
      <c r="D886" s="3"/>
      <c r="M886" s="4"/>
      <c r="N886" s="5"/>
      <c r="S886" s="4"/>
      <c r="T886" s="5"/>
      <c r="V886" s="5"/>
    </row>
    <row r="887" ht="15.75" customHeight="1">
      <c r="D887" s="3"/>
      <c r="M887" s="4"/>
      <c r="N887" s="5"/>
      <c r="S887" s="4"/>
      <c r="T887" s="5"/>
      <c r="V887" s="5"/>
    </row>
    <row r="888" ht="15.75" customHeight="1">
      <c r="D888" s="3"/>
      <c r="M888" s="4"/>
      <c r="N888" s="5"/>
      <c r="S888" s="4"/>
      <c r="T888" s="5"/>
      <c r="V888" s="5"/>
    </row>
    <row r="889" ht="15.75" customHeight="1">
      <c r="D889" s="3"/>
      <c r="M889" s="4"/>
      <c r="N889" s="5"/>
      <c r="S889" s="4"/>
      <c r="T889" s="5"/>
      <c r="V889" s="5"/>
    </row>
    <row r="890" ht="15.75" customHeight="1">
      <c r="D890" s="3"/>
      <c r="M890" s="4"/>
      <c r="N890" s="5"/>
      <c r="S890" s="4"/>
      <c r="T890" s="5"/>
      <c r="V890" s="5"/>
    </row>
    <row r="891" ht="15.75" customHeight="1">
      <c r="D891" s="3"/>
      <c r="M891" s="4"/>
      <c r="N891" s="5"/>
      <c r="S891" s="4"/>
      <c r="T891" s="5"/>
      <c r="V891" s="5"/>
    </row>
    <row r="892" ht="15.75" customHeight="1">
      <c r="D892" s="3"/>
      <c r="M892" s="4"/>
      <c r="N892" s="5"/>
      <c r="S892" s="4"/>
      <c r="T892" s="5"/>
      <c r="V892" s="5"/>
    </row>
    <row r="893" ht="15.75" customHeight="1">
      <c r="D893" s="3"/>
      <c r="M893" s="4"/>
      <c r="N893" s="5"/>
      <c r="S893" s="4"/>
      <c r="T893" s="5"/>
      <c r="V893" s="5"/>
    </row>
    <row r="894" ht="15.75" customHeight="1">
      <c r="D894" s="3"/>
      <c r="M894" s="4"/>
      <c r="N894" s="5"/>
      <c r="S894" s="4"/>
      <c r="T894" s="5"/>
      <c r="V894" s="5"/>
    </row>
    <row r="895" ht="15.75" customHeight="1">
      <c r="D895" s="3"/>
      <c r="M895" s="4"/>
      <c r="N895" s="5"/>
      <c r="S895" s="4"/>
      <c r="T895" s="5"/>
      <c r="V895" s="5"/>
    </row>
    <row r="896" ht="15.75" customHeight="1">
      <c r="D896" s="3"/>
      <c r="M896" s="4"/>
      <c r="N896" s="5"/>
      <c r="S896" s="4"/>
      <c r="T896" s="5"/>
      <c r="V896" s="5"/>
    </row>
    <row r="897" ht="15.75" customHeight="1">
      <c r="D897" s="3"/>
      <c r="M897" s="4"/>
      <c r="N897" s="5"/>
      <c r="S897" s="4"/>
      <c r="T897" s="5"/>
      <c r="V897" s="5"/>
    </row>
    <row r="898" ht="15.75" customHeight="1">
      <c r="D898" s="3"/>
      <c r="M898" s="4"/>
      <c r="N898" s="5"/>
      <c r="S898" s="4"/>
      <c r="T898" s="5"/>
      <c r="V898" s="5"/>
    </row>
    <row r="899" ht="15.75" customHeight="1">
      <c r="D899" s="3"/>
      <c r="M899" s="4"/>
      <c r="N899" s="5"/>
      <c r="S899" s="4"/>
      <c r="T899" s="5"/>
      <c r="V899" s="5"/>
    </row>
    <row r="900" ht="15.75" customHeight="1">
      <c r="D900" s="3"/>
      <c r="M900" s="4"/>
      <c r="N900" s="5"/>
      <c r="S900" s="4"/>
      <c r="T900" s="5"/>
      <c r="V900" s="5"/>
    </row>
    <row r="901" ht="15.75" customHeight="1">
      <c r="D901" s="3"/>
      <c r="M901" s="4"/>
      <c r="N901" s="5"/>
      <c r="S901" s="4"/>
      <c r="T901" s="5"/>
      <c r="V901" s="5"/>
    </row>
    <row r="902" ht="15.75" customHeight="1">
      <c r="D902" s="3"/>
      <c r="M902" s="4"/>
      <c r="N902" s="5"/>
      <c r="S902" s="4"/>
      <c r="T902" s="5"/>
      <c r="V902" s="5"/>
    </row>
    <row r="903" ht="15.75" customHeight="1">
      <c r="D903" s="3"/>
      <c r="M903" s="4"/>
      <c r="N903" s="5"/>
      <c r="S903" s="4"/>
      <c r="T903" s="5"/>
      <c r="V903" s="5"/>
    </row>
    <row r="904" ht="15.75" customHeight="1">
      <c r="D904" s="3"/>
      <c r="M904" s="4"/>
      <c r="N904" s="5"/>
      <c r="S904" s="4"/>
      <c r="T904" s="5"/>
      <c r="V904" s="5"/>
    </row>
    <row r="905" ht="15.75" customHeight="1">
      <c r="D905" s="3"/>
      <c r="M905" s="4"/>
      <c r="N905" s="5"/>
      <c r="S905" s="4"/>
      <c r="T905" s="5"/>
      <c r="V905" s="5"/>
    </row>
    <row r="906" ht="15.75" customHeight="1">
      <c r="D906" s="3"/>
      <c r="M906" s="4"/>
      <c r="N906" s="5"/>
      <c r="S906" s="4"/>
      <c r="T906" s="5"/>
      <c r="V906" s="5"/>
    </row>
    <row r="907" ht="15.75" customHeight="1">
      <c r="D907" s="3"/>
      <c r="M907" s="4"/>
      <c r="N907" s="5"/>
      <c r="S907" s="4"/>
      <c r="T907" s="5"/>
      <c r="V907" s="5"/>
    </row>
    <row r="908" ht="15.75" customHeight="1">
      <c r="D908" s="3"/>
      <c r="M908" s="4"/>
      <c r="N908" s="5"/>
      <c r="S908" s="4"/>
      <c r="T908" s="5"/>
      <c r="V908" s="5"/>
    </row>
    <row r="909" ht="15.75" customHeight="1">
      <c r="D909" s="3"/>
      <c r="M909" s="4"/>
      <c r="N909" s="5"/>
      <c r="S909" s="4"/>
      <c r="T909" s="5"/>
      <c r="V909" s="5"/>
    </row>
    <row r="910" ht="15.75" customHeight="1">
      <c r="D910" s="3"/>
      <c r="M910" s="4"/>
      <c r="N910" s="5"/>
      <c r="S910" s="4"/>
      <c r="T910" s="5"/>
      <c r="V910" s="5"/>
    </row>
    <row r="911" ht="15.75" customHeight="1">
      <c r="D911" s="3"/>
      <c r="M911" s="4"/>
      <c r="N911" s="5"/>
      <c r="S911" s="4"/>
      <c r="T911" s="5"/>
      <c r="V911" s="5"/>
    </row>
    <row r="912" ht="15.75" customHeight="1">
      <c r="D912" s="3"/>
      <c r="M912" s="4"/>
      <c r="N912" s="5"/>
      <c r="S912" s="4"/>
      <c r="T912" s="5"/>
      <c r="V912" s="5"/>
    </row>
    <row r="913" ht="15.75" customHeight="1">
      <c r="D913" s="3"/>
      <c r="M913" s="4"/>
      <c r="N913" s="5"/>
      <c r="S913" s="4"/>
      <c r="T913" s="5"/>
      <c r="V913" s="5"/>
    </row>
    <row r="914" ht="15.75" customHeight="1">
      <c r="D914" s="3"/>
      <c r="M914" s="4"/>
      <c r="N914" s="5"/>
      <c r="S914" s="4"/>
      <c r="T914" s="5"/>
      <c r="V914" s="5"/>
    </row>
    <row r="915" ht="15.75" customHeight="1">
      <c r="D915" s="3"/>
      <c r="M915" s="4"/>
      <c r="N915" s="5"/>
      <c r="S915" s="4"/>
      <c r="T915" s="5"/>
      <c r="V915" s="5"/>
    </row>
    <row r="916" ht="15.75" customHeight="1">
      <c r="D916" s="3"/>
      <c r="M916" s="4"/>
      <c r="N916" s="5"/>
      <c r="S916" s="4"/>
      <c r="T916" s="5"/>
      <c r="V916" s="5"/>
    </row>
    <row r="917" ht="15.75" customHeight="1">
      <c r="D917" s="3"/>
      <c r="M917" s="4"/>
      <c r="N917" s="5"/>
      <c r="S917" s="4"/>
      <c r="T917" s="5"/>
      <c r="V917" s="5"/>
    </row>
    <row r="918" ht="15.75" customHeight="1">
      <c r="D918" s="3"/>
      <c r="M918" s="4"/>
      <c r="N918" s="5"/>
      <c r="S918" s="4"/>
      <c r="T918" s="5"/>
      <c r="V918" s="5"/>
    </row>
    <row r="919" ht="15.75" customHeight="1">
      <c r="D919" s="3"/>
      <c r="M919" s="4"/>
      <c r="N919" s="5"/>
      <c r="S919" s="4"/>
      <c r="T919" s="5"/>
      <c r="V919" s="5"/>
    </row>
    <row r="920" ht="15.75" customHeight="1">
      <c r="D920" s="3"/>
      <c r="M920" s="4"/>
      <c r="N920" s="5"/>
      <c r="S920" s="4"/>
      <c r="T920" s="5"/>
      <c r="V920" s="5"/>
    </row>
    <row r="921" ht="15.75" customHeight="1">
      <c r="D921" s="3"/>
      <c r="M921" s="4"/>
      <c r="N921" s="5"/>
      <c r="S921" s="4"/>
      <c r="T921" s="5"/>
      <c r="V921" s="5"/>
    </row>
    <row r="922" ht="15.75" customHeight="1">
      <c r="D922" s="3"/>
      <c r="M922" s="4"/>
      <c r="N922" s="5"/>
      <c r="S922" s="4"/>
      <c r="T922" s="5"/>
      <c r="V922" s="5"/>
    </row>
    <row r="923" ht="15.75" customHeight="1">
      <c r="D923" s="3"/>
      <c r="M923" s="4"/>
      <c r="N923" s="5"/>
      <c r="S923" s="4"/>
      <c r="T923" s="5"/>
      <c r="V923" s="5"/>
    </row>
    <row r="924" ht="15.75" customHeight="1">
      <c r="D924" s="3"/>
      <c r="M924" s="4"/>
      <c r="N924" s="5"/>
      <c r="S924" s="4"/>
      <c r="T924" s="5"/>
      <c r="V924" s="5"/>
    </row>
    <row r="925" ht="15.75" customHeight="1">
      <c r="D925" s="3"/>
      <c r="M925" s="4"/>
      <c r="N925" s="5"/>
      <c r="S925" s="4"/>
      <c r="T925" s="5"/>
      <c r="V925" s="5"/>
    </row>
    <row r="926" ht="15.75" customHeight="1">
      <c r="D926" s="3"/>
      <c r="M926" s="4"/>
      <c r="N926" s="5"/>
      <c r="S926" s="4"/>
      <c r="T926" s="5"/>
      <c r="V926" s="5"/>
    </row>
    <row r="927" ht="15.75" customHeight="1">
      <c r="D927" s="3"/>
      <c r="M927" s="4"/>
      <c r="N927" s="5"/>
      <c r="S927" s="4"/>
      <c r="T927" s="5"/>
      <c r="V927" s="5"/>
    </row>
    <row r="928" ht="15.75" customHeight="1">
      <c r="D928" s="3"/>
      <c r="M928" s="4"/>
      <c r="N928" s="5"/>
      <c r="S928" s="4"/>
      <c r="T928" s="5"/>
      <c r="V928" s="5"/>
    </row>
    <row r="929" ht="15.75" customHeight="1">
      <c r="D929" s="3"/>
      <c r="M929" s="4"/>
      <c r="N929" s="5"/>
      <c r="S929" s="4"/>
      <c r="T929" s="5"/>
      <c r="V929" s="5"/>
    </row>
    <row r="930" ht="15.75" customHeight="1">
      <c r="D930" s="3"/>
      <c r="M930" s="4"/>
      <c r="N930" s="5"/>
      <c r="S930" s="4"/>
      <c r="T930" s="5"/>
      <c r="V930" s="5"/>
    </row>
    <row r="931" ht="15.75" customHeight="1">
      <c r="D931" s="3"/>
      <c r="M931" s="4"/>
      <c r="N931" s="5"/>
      <c r="S931" s="4"/>
      <c r="T931" s="5"/>
      <c r="V931" s="5"/>
    </row>
    <row r="932" ht="15.75" customHeight="1">
      <c r="D932" s="3"/>
      <c r="M932" s="4"/>
      <c r="N932" s="5"/>
      <c r="S932" s="4"/>
      <c r="T932" s="5"/>
      <c r="V932" s="5"/>
    </row>
    <row r="933" ht="15.75" customHeight="1">
      <c r="D933" s="3"/>
      <c r="M933" s="4"/>
      <c r="N933" s="5"/>
      <c r="S933" s="4"/>
      <c r="T933" s="5"/>
      <c r="V933" s="5"/>
    </row>
    <row r="934" ht="15.75" customHeight="1">
      <c r="D934" s="3"/>
      <c r="M934" s="4"/>
      <c r="N934" s="5"/>
      <c r="S934" s="4"/>
      <c r="T934" s="5"/>
      <c r="V934" s="5"/>
    </row>
    <row r="935" ht="15.75" customHeight="1">
      <c r="D935" s="3"/>
      <c r="M935" s="4"/>
      <c r="N935" s="5"/>
      <c r="S935" s="4"/>
      <c r="T935" s="5"/>
      <c r="V935" s="5"/>
    </row>
    <row r="936" ht="15.75" customHeight="1">
      <c r="D936" s="3"/>
      <c r="M936" s="4"/>
      <c r="N936" s="5"/>
      <c r="S936" s="4"/>
      <c r="T936" s="5"/>
      <c r="V936" s="5"/>
    </row>
    <row r="937" ht="15.75" customHeight="1">
      <c r="D937" s="3"/>
      <c r="M937" s="4"/>
      <c r="N937" s="5"/>
      <c r="S937" s="4"/>
      <c r="T937" s="5"/>
      <c r="V937" s="5"/>
    </row>
    <row r="938" ht="15.75" customHeight="1">
      <c r="D938" s="3"/>
      <c r="M938" s="4"/>
      <c r="N938" s="5"/>
      <c r="S938" s="4"/>
      <c r="T938" s="5"/>
      <c r="V938" s="5"/>
    </row>
    <row r="939" ht="15.75" customHeight="1">
      <c r="D939" s="3"/>
      <c r="M939" s="4"/>
      <c r="N939" s="5"/>
      <c r="S939" s="4"/>
      <c r="T939" s="5"/>
      <c r="V939" s="5"/>
    </row>
    <row r="940" ht="15.75" customHeight="1">
      <c r="D940" s="3"/>
      <c r="M940" s="4"/>
      <c r="N940" s="5"/>
      <c r="S940" s="4"/>
      <c r="T940" s="5"/>
      <c r="V940" s="5"/>
    </row>
    <row r="941" ht="15.75" customHeight="1">
      <c r="D941" s="3"/>
      <c r="M941" s="4"/>
      <c r="N941" s="5"/>
      <c r="S941" s="4"/>
      <c r="T941" s="5"/>
      <c r="V941" s="5"/>
    </row>
    <row r="942" ht="15.75" customHeight="1">
      <c r="D942" s="3"/>
      <c r="M942" s="4"/>
      <c r="N942" s="5"/>
      <c r="S942" s="4"/>
      <c r="T942" s="5"/>
      <c r="V942" s="5"/>
    </row>
    <row r="943" ht="15.75" customHeight="1">
      <c r="D943" s="3"/>
      <c r="M943" s="4"/>
      <c r="N943" s="5"/>
      <c r="S943" s="4"/>
      <c r="T943" s="5"/>
      <c r="V943" s="5"/>
    </row>
    <row r="944" ht="15.75" customHeight="1">
      <c r="D944" s="3"/>
      <c r="M944" s="4"/>
      <c r="N944" s="5"/>
      <c r="S944" s="4"/>
      <c r="T944" s="5"/>
      <c r="V944" s="5"/>
    </row>
    <row r="945" ht="15.75" customHeight="1">
      <c r="D945" s="3"/>
      <c r="M945" s="4"/>
      <c r="N945" s="5"/>
      <c r="S945" s="4"/>
      <c r="T945" s="5"/>
      <c r="V945" s="5"/>
    </row>
    <row r="946" ht="15.75" customHeight="1">
      <c r="D946" s="3"/>
      <c r="M946" s="4"/>
      <c r="N946" s="5"/>
      <c r="S946" s="4"/>
      <c r="T946" s="5"/>
      <c r="V946" s="5"/>
    </row>
    <row r="947" ht="15.75" customHeight="1">
      <c r="D947" s="3"/>
      <c r="M947" s="4"/>
      <c r="N947" s="5"/>
      <c r="S947" s="4"/>
      <c r="T947" s="5"/>
      <c r="V947" s="5"/>
    </row>
    <row r="948" ht="15.75" customHeight="1">
      <c r="D948" s="3"/>
      <c r="M948" s="4"/>
      <c r="N948" s="5"/>
      <c r="S948" s="4"/>
      <c r="T948" s="5"/>
      <c r="V948" s="5"/>
    </row>
    <row r="949" ht="15.75" customHeight="1">
      <c r="D949" s="3"/>
      <c r="M949" s="4"/>
      <c r="N949" s="5"/>
      <c r="S949" s="4"/>
      <c r="T949" s="5"/>
      <c r="V949" s="5"/>
    </row>
    <row r="950" ht="15.75" customHeight="1">
      <c r="D950" s="3"/>
      <c r="M950" s="4"/>
      <c r="N950" s="5"/>
      <c r="S950" s="4"/>
      <c r="T950" s="5"/>
      <c r="V950" s="5"/>
    </row>
    <row r="951" ht="15.75" customHeight="1">
      <c r="D951" s="3"/>
      <c r="M951" s="4"/>
      <c r="N951" s="5"/>
      <c r="S951" s="4"/>
      <c r="T951" s="5"/>
      <c r="V951" s="5"/>
    </row>
    <row r="952" ht="15.75" customHeight="1">
      <c r="D952" s="3"/>
      <c r="M952" s="4"/>
      <c r="N952" s="5"/>
      <c r="S952" s="4"/>
      <c r="T952" s="5"/>
      <c r="V952" s="5"/>
    </row>
    <row r="953" ht="15.75" customHeight="1">
      <c r="D953" s="3"/>
      <c r="M953" s="4"/>
      <c r="N953" s="5"/>
      <c r="S953" s="4"/>
      <c r="T953" s="5"/>
      <c r="V953" s="5"/>
    </row>
    <row r="954" ht="15.75" customHeight="1">
      <c r="D954" s="3"/>
      <c r="M954" s="4"/>
      <c r="N954" s="5"/>
      <c r="S954" s="4"/>
      <c r="T954" s="5"/>
      <c r="V954" s="5"/>
    </row>
    <row r="955" ht="15.75" customHeight="1">
      <c r="D955" s="3"/>
      <c r="M955" s="4"/>
      <c r="N955" s="5"/>
      <c r="S955" s="4"/>
      <c r="T955" s="5"/>
      <c r="V955" s="5"/>
    </row>
    <row r="956" ht="15.75" customHeight="1">
      <c r="D956" s="3"/>
      <c r="M956" s="4"/>
      <c r="N956" s="5"/>
      <c r="S956" s="4"/>
      <c r="T956" s="5"/>
      <c r="V956" s="5"/>
    </row>
    <row r="957" ht="15.75" customHeight="1">
      <c r="D957" s="3"/>
      <c r="M957" s="4"/>
      <c r="N957" s="5"/>
      <c r="S957" s="4"/>
      <c r="T957" s="5"/>
      <c r="V957" s="5"/>
    </row>
    <row r="958" ht="15.75" customHeight="1">
      <c r="D958" s="3"/>
      <c r="M958" s="4"/>
      <c r="N958" s="5"/>
      <c r="S958" s="4"/>
      <c r="T958" s="5"/>
      <c r="V958" s="5"/>
    </row>
    <row r="959" ht="15.75" customHeight="1">
      <c r="D959" s="3"/>
      <c r="M959" s="4"/>
      <c r="N959" s="5"/>
      <c r="S959" s="4"/>
      <c r="T959" s="5"/>
      <c r="V959" s="5"/>
    </row>
    <row r="960" ht="15.75" customHeight="1">
      <c r="D960" s="3"/>
      <c r="M960" s="4"/>
      <c r="N960" s="5"/>
      <c r="S960" s="4"/>
      <c r="T960" s="5"/>
      <c r="V960" s="5"/>
    </row>
    <row r="961" ht="15.75" customHeight="1">
      <c r="D961" s="3"/>
      <c r="M961" s="4"/>
      <c r="N961" s="5"/>
      <c r="S961" s="4"/>
      <c r="T961" s="5"/>
      <c r="V961" s="5"/>
    </row>
    <row r="962" ht="15.75" customHeight="1">
      <c r="D962" s="3"/>
      <c r="M962" s="4"/>
      <c r="N962" s="5"/>
      <c r="S962" s="4"/>
      <c r="T962" s="5"/>
      <c r="V962" s="5"/>
    </row>
    <row r="963" ht="15.75" customHeight="1">
      <c r="D963" s="3"/>
      <c r="M963" s="4"/>
      <c r="N963" s="5"/>
      <c r="S963" s="4"/>
      <c r="T963" s="5"/>
      <c r="V963" s="5"/>
    </row>
    <row r="964" ht="15.75" customHeight="1">
      <c r="D964" s="3"/>
      <c r="M964" s="4"/>
      <c r="N964" s="5"/>
      <c r="S964" s="4"/>
      <c r="T964" s="5"/>
      <c r="V964" s="5"/>
    </row>
    <row r="965" ht="15.75" customHeight="1">
      <c r="D965" s="3"/>
      <c r="M965" s="4"/>
      <c r="N965" s="5"/>
      <c r="S965" s="4"/>
      <c r="T965" s="5"/>
      <c r="V965" s="5"/>
    </row>
    <row r="966" ht="15.75" customHeight="1">
      <c r="D966" s="3"/>
      <c r="M966" s="4"/>
      <c r="N966" s="5"/>
      <c r="S966" s="4"/>
      <c r="T966" s="5"/>
      <c r="V966" s="5"/>
    </row>
    <row r="967" ht="15.75" customHeight="1">
      <c r="D967" s="3"/>
      <c r="M967" s="4"/>
      <c r="N967" s="5"/>
      <c r="S967" s="4"/>
      <c r="T967" s="5"/>
      <c r="V967" s="5"/>
    </row>
    <row r="968" ht="15.75" customHeight="1">
      <c r="D968" s="3"/>
      <c r="M968" s="4"/>
      <c r="N968" s="5"/>
      <c r="S968" s="4"/>
      <c r="T968" s="5"/>
      <c r="V968" s="5"/>
    </row>
    <row r="969" ht="15.75" customHeight="1">
      <c r="D969" s="3"/>
      <c r="M969" s="4"/>
      <c r="N969" s="5"/>
      <c r="S969" s="4"/>
      <c r="T969" s="5"/>
      <c r="V969" s="5"/>
    </row>
    <row r="970" ht="15.75" customHeight="1">
      <c r="D970" s="3"/>
      <c r="M970" s="4"/>
      <c r="N970" s="5"/>
      <c r="S970" s="4"/>
      <c r="T970" s="5"/>
      <c r="V970" s="5"/>
    </row>
    <row r="971" ht="15.75" customHeight="1">
      <c r="D971" s="3"/>
      <c r="M971" s="4"/>
      <c r="N971" s="5"/>
      <c r="S971" s="4"/>
      <c r="T971" s="5"/>
      <c r="V971" s="5"/>
    </row>
    <row r="972" ht="15.75" customHeight="1">
      <c r="D972" s="3"/>
      <c r="M972" s="4"/>
      <c r="N972" s="5"/>
      <c r="S972" s="4"/>
      <c r="T972" s="5"/>
      <c r="V972" s="5"/>
    </row>
    <row r="973" ht="15.75" customHeight="1">
      <c r="D973" s="3"/>
      <c r="M973" s="4"/>
      <c r="N973" s="5"/>
      <c r="S973" s="4"/>
      <c r="T973" s="5"/>
      <c r="V973" s="5"/>
    </row>
    <row r="974" ht="15.75" customHeight="1">
      <c r="D974" s="3"/>
      <c r="M974" s="4"/>
      <c r="N974" s="5"/>
      <c r="S974" s="4"/>
      <c r="T974" s="5"/>
      <c r="V974" s="5"/>
    </row>
    <row r="975" ht="15.75" customHeight="1">
      <c r="D975" s="3"/>
      <c r="M975" s="4"/>
      <c r="N975" s="5"/>
      <c r="S975" s="4"/>
      <c r="T975" s="5"/>
      <c r="V975" s="5"/>
    </row>
    <row r="976" ht="15.75" customHeight="1">
      <c r="D976" s="3"/>
      <c r="M976" s="4"/>
      <c r="N976" s="5"/>
      <c r="S976" s="4"/>
      <c r="T976" s="5"/>
      <c r="V976" s="5"/>
    </row>
    <row r="977" ht="15.75" customHeight="1">
      <c r="D977" s="3"/>
      <c r="M977" s="4"/>
      <c r="N977" s="5"/>
      <c r="S977" s="4"/>
      <c r="T977" s="5"/>
      <c r="V977" s="5"/>
    </row>
    <row r="978" ht="15.75" customHeight="1">
      <c r="D978" s="3"/>
      <c r="M978" s="4"/>
      <c r="N978" s="5"/>
      <c r="S978" s="4"/>
      <c r="T978" s="5"/>
      <c r="V978" s="5"/>
    </row>
    <row r="979" ht="15.75" customHeight="1">
      <c r="D979" s="3"/>
      <c r="M979" s="4"/>
      <c r="N979" s="5"/>
      <c r="S979" s="4"/>
      <c r="T979" s="5"/>
      <c r="V979" s="5"/>
    </row>
    <row r="980" ht="15.75" customHeight="1">
      <c r="D980" s="3"/>
      <c r="M980" s="4"/>
      <c r="N980" s="5"/>
      <c r="S980" s="4"/>
      <c r="T980" s="5"/>
      <c r="V980" s="5"/>
    </row>
    <row r="981" ht="15.75" customHeight="1">
      <c r="D981" s="3"/>
      <c r="M981" s="4"/>
      <c r="N981" s="5"/>
      <c r="S981" s="4"/>
      <c r="T981" s="5"/>
      <c r="V981" s="5"/>
    </row>
    <row r="982" ht="15.75" customHeight="1">
      <c r="D982" s="3"/>
      <c r="M982" s="4"/>
      <c r="N982" s="5"/>
      <c r="S982" s="4"/>
      <c r="T982" s="5"/>
      <c r="V982" s="5"/>
    </row>
    <row r="983" ht="15.75" customHeight="1">
      <c r="D983" s="3"/>
      <c r="M983" s="4"/>
      <c r="N983" s="5"/>
      <c r="S983" s="4"/>
      <c r="T983" s="5"/>
      <c r="V983" s="5"/>
    </row>
    <row r="984" ht="15.75" customHeight="1">
      <c r="D984" s="3"/>
      <c r="M984" s="4"/>
      <c r="N984" s="5"/>
      <c r="S984" s="4"/>
      <c r="T984" s="5"/>
      <c r="V984" s="5"/>
    </row>
    <row r="985" ht="15.75" customHeight="1">
      <c r="D985" s="3"/>
      <c r="M985" s="4"/>
      <c r="N985" s="5"/>
      <c r="S985" s="4"/>
      <c r="T985" s="5"/>
      <c r="V985" s="5"/>
    </row>
    <row r="986" ht="15.75" customHeight="1">
      <c r="D986" s="3"/>
      <c r="M986" s="4"/>
      <c r="N986" s="5"/>
      <c r="S986" s="4"/>
      <c r="T986" s="5"/>
      <c r="V986" s="5"/>
    </row>
    <row r="987" ht="15.75" customHeight="1">
      <c r="D987" s="3"/>
      <c r="M987" s="4"/>
      <c r="N987" s="5"/>
      <c r="S987" s="4"/>
      <c r="T987" s="5"/>
      <c r="V987" s="5"/>
    </row>
    <row r="988" ht="15.75" customHeight="1">
      <c r="D988" s="3"/>
      <c r="M988" s="4"/>
      <c r="N988" s="5"/>
      <c r="S988" s="4"/>
      <c r="T988" s="5"/>
      <c r="V988" s="5"/>
    </row>
    <row r="989" ht="15.75" customHeight="1">
      <c r="D989" s="3"/>
      <c r="M989" s="4"/>
      <c r="N989" s="5"/>
      <c r="S989" s="4"/>
      <c r="T989" s="5"/>
      <c r="V989" s="5"/>
    </row>
    <row r="990" ht="15.75" customHeight="1">
      <c r="D990" s="3"/>
      <c r="M990" s="4"/>
      <c r="N990" s="5"/>
      <c r="S990" s="4"/>
      <c r="T990" s="5"/>
      <c r="V990" s="5"/>
    </row>
    <row r="991" ht="15.75" customHeight="1">
      <c r="D991" s="3"/>
      <c r="M991" s="4"/>
      <c r="N991" s="5"/>
      <c r="S991" s="4"/>
      <c r="T991" s="5"/>
      <c r="V991" s="5"/>
    </row>
    <row r="992" ht="15.75" customHeight="1">
      <c r="D992" s="3"/>
      <c r="M992" s="4"/>
      <c r="N992" s="5"/>
      <c r="S992" s="4"/>
      <c r="T992" s="5"/>
      <c r="V992" s="5"/>
    </row>
    <row r="993" ht="15.75" customHeight="1">
      <c r="D993" s="3"/>
      <c r="M993" s="4"/>
      <c r="N993" s="5"/>
      <c r="S993" s="4"/>
      <c r="T993" s="5"/>
      <c r="V993" s="5"/>
    </row>
    <row r="994" ht="15.75" customHeight="1">
      <c r="D994" s="3"/>
      <c r="M994" s="4"/>
      <c r="N994" s="5"/>
      <c r="S994" s="4"/>
      <c r="T994" s="5"/>
      <c r="V994" s="5"/>
    </row>
    <row r="995" ht="15.75" customHeight="1">
      <c r="D995" s="3"/>
      <c r="M995" s="4"/>
      <c r="N995" s="5"/>
      <c r="S995" s="4"/>
      <c r="T995" s="5"/>
      <c r="V995" s="5"/>
    </row>
    <row r="996" ht="15.75" customHeight="1">
      <c r="D996" s="3"/>
      <c r="M996" s="4"/>
      <c r="N996" s="5"/>
      <c r="S996" s="4"/>
      <c r="T996" s="5"/>
      <c r="V996" s="5"/>
    </row>
    <row r="997" ht="15.75" customHeight="1">
      <c r="D997" s="3"/>
      <c r="M997" s="4"/>
      <c r="N997" s="5"/>
      <c r="S997" s="4"/>
      <c r="T997" s="5"/>
      <c r="V997" s="5"/>
    </row>
    <row r="998" ht="15.75" customHeight="1">
      <c r="D998" s="3"/>
      <c r="M998" s="4"/>
      <c r="N998" s="5"/>
      <c r="S998" s="4"/>
      <c r="T998" s="5"/>
      <c r="V998" s="5"/>
    </row>
    <row r="999" ht="15.75" customHeight="1">
      <c r="D999" s="3"/>
      <c r="M999" s="4"/>
      <c r="N999" s="5"/>
      <c r="S999" s="4"/>
      <c r="T999" s="5"/>
      <c r="V999" s="5"/>
    </row>
    <row r="1000" ht="15.75" customHeight="1">
      <c r="D1000" s="3"/>
      <c r="M1000" s="4"/>
      <c r="N1000" s="5"/>
      <c r="S1000" s="4"/>
      <c r="T1000" s="5"/>
      <c r="V1000" s="5"/>
    </row>
    <row r="1001" ht="15.75" customHeight="1">
      <c r="D1001" s="3"/>
      <c r="M1001" s="4"/>
      <c r="N1001" s="5"/>
      <c r="S1001" s="4"/>
      <c r="T1001" s="5"/>
      <c r="V1001" s="5"/>
    </row>
    <row r="1002" ht="15.75" customHeight="1">
      <c r="D1002" s="3"/>
      <c r="M1002" s="4"/>
      <c r="N1002" s="5"/>
      <c r="S1002" s="4"/>
      <c r="T1002" s="5"/>
      <c r="V1002" s="5"/>
    </row>
    <row r="1003" ht="15.75" customHeight="1">
      <c r="D1003" s="3"/>
      <c r="M1003" s="4"/>
      <c r="N1003" s="5"/>
      <c r="S1003" s="4"/>
      <c r="T1003" s="5"/>
      <c r="V1003" s="5"/>
    </row>
    <row r="1004" ht="15.75" customHeight="1">
      <c r="D1004" s="3"/>
      <c r="M1004" s="4"/>
      <c r="N1004" s="5"/>
      <c r="S1004" s="4"/>
      <c r="T1004" s="5"/>
      <c r="V1004" s="5"/>
    </row>
    <row r="1005" ht="15.75" customHeight="1">
      <c r="D1005" s="3"/>
      <c r="M1005" s="4"/>
      <c r="N1005" s="5"/>
      <c r="S1005" s="4"/>
      <c r="T1005" s="5"/>
      <c r="V1005" s="5"/>
    </row>
    <row r="1006" ht="15.75" customHeight="1">
      <c r="D1006" s="3"/>
      <c r="M1006" s="4"/>
      <c r="N1006" s="5"/>
      <c r="S1006" s="4"/>
      <c r="T1006" s="5"/>
      <c r="V1006" s="5"/>
    </row>
    <row r="1007" ht="15.75" customHeight="1">
      <c r="D1007" s="3"/>
      <c r="M1007" s="4"/>
      <c r="N1007" s="5"/>
      <c r="S1007" s="4"/>
      <c r="T1007" s="5"/>
      <c r="V1007" s="5"/>
    </row>
    <row r="1008" ht="15.75" customHeight="1">
      <c r="D1008" s="3"/>
      <c r="M1008" s="4"/>
      <c r="N1008" s="5"/>
      <c r="S1008" s="4"/>
      <c r="T1008" s="5"/>
      <c r="V1008" s="5"/>
    </row>
    <row r="1009" ht="15.75" customHeight="1">
      <c r="D1009" s="3"/>
      <c r="M1009" s="4"/>
      <c r="N1009" s="5"/>
      <c r="S1009" s="4"/>
      <c r="T1009" s="5"/>
      <c r="V1009" s="5"/>
    </row>
    <row r="1010" ht="15.75" customHeight="1">
      <c r="D1010" s="3"/>
      <c r="M1010" s="4"/>
      <c r="N1010" s="5"/>
      <c r="S1010" s="4"/>
      <c r="T1010" s="5"/>
      <c r="V1010" s="5"/>
    </row>
    <row r="1011" ht="15.75" customHeight="1">
      <c r="D1011" s="3"/>
      <c r="M1011" s="4"/>
      <c r="N1011" s="5"/>
      <c r="S1011" s="4"/>
      <c r="T1011" s="5"/>
      <c r="V1011" s="5"/>
    </row>
    <row r="1012" ht="15.75" customHeight="1">
      <c r="D1012" s="3"/>
      <c r="M1012" s="4"/>
      <c r="N1012" s="5"/>
      <c r="S1012" s="4"/>
      <c r="T1012" s="5"/>
      <c r="V1012" s="5"/>
    </row>
    <row r="1013" ht="15.75" customHeight="1">
      <c r="D1013" s="3"/>
      <c r="M1013" s="4"/>
      <c r="N1013" s="5"/>
      <c r="S1013" s="4"/>
      <c r="T1013" s="5"/>
      <c r="V1013" s="5"/>
    </row>
    <row r="1014" ht="15.75" customHeight="1">
      <c r="D1014" s="3"/>
      <c r="M1014" s="4"/>
      <c r="N1014" s="5"/>
      <c r="S1014" s="4"/>
      <c r="T1014" s="5"/>
      <c r="V1014" s="5"/>
    </row>
    <row r="1015" ht="15.75" customHeight="1">
      <c r="D1015" s="3"/>
      <c r="M1015" s="4"/>
      <c r="N1015" s="5"/>
      <c r="S1015" s="4"/>
      <c r="T1015" s="5"/>
      <c r="V1015" s="5"/>
    </row>
    <row r="1016" ht="15.75" customHeight="1">
      <c r="D1016" s="3"/>
      <c r="M1016" s="4"/>
      <c r="N1016" s="5"/>
      <c r="S1016" s="4"/>
      <c r="T1016" s="5"/>
      <c r="V1016" s="5"/>
    </row>
    <row r="1017" ht="15.75" customHeight="1">
      <c r="D1017" s="3"/>
      <c r="M1017" s="4"/>
      <c r="N1017" s="5"/>
      <c r="S1017" s="4"/>
      <c r="T1017" s="5"/>
      <c r="V1017" s="5"/>
    </row>
    <row r="1018" ht="15.75" customHeight="1">
      <c r="D1018" s="3"/>
      <c r="M1018" s="4"/>
      <c r="N1018" s="5"/>
      <c r="S1018" s="4"/>
      <c r="T1018" s="5"/>
      <c r="V1018" s="5"/>
    </row>
    <row r="1019" ht="15.75" customHeight="1">
      <c r="D1019" s="3"/>
      <c r="M1019" s="4"/>
      <c r="N1019" s="5"/>
      <c r="S1019" s="4"/>
      <c r="T1019" s="5"/>
      <c r="V1019" s="5"/>
    </row>
    <row r="1020" ht="15.75" customHeight="1">
      <c r="D1020" s="3"/>
      <c r="M1020" s="4"/>
      <c r="N1020" s="5"/>
      <c r="S1020" s="4"/>
      <c r="T1020" s="5"/>
      <c r="V1020" s="5"/>
    </row>
    <row r="1021" ht="15.75" customHeight="1">
      <c r="D1021" s="3"/>
      <c r="M1021" s="4"/>
      <c r="N1021" s="5"/>
      <c r="S1021" s="4"/>
      <c r="T1021" s="5"/>
      <c r="V1021" s="5"/>
    </row>
    <row r="1022" ht="15.75" customHeight="1">
      <c r="D1022" s="3"/>
      <c r="M1022" s="4"/>
      <c r="N1022" s="5"/>
      <c r="S1022" s="4"/>
      <c r="T1022" s="5"/>
      <c r="V1022" s="5"/>
    </row>
    <row r="1023" ht="15.75" customHeight="1">
      <c r="D1023" s="3"/>
      <c r="M1023" s="4"/>
      <c r="N1023" s="5"/>
      <c r="S1023" s="4"/>
      <c r="T1023" s="5"/>
      <c r="V1023" s="5"/>
    </row>
    <row r="1024" ht="15.75" customHeight="1">
      <c r="D1024" s="3"/>
      <c r="M1024" s="4"/>
      <c r="N1024" s="5"/>
      <c r="S1024" s="4"/>
      <c r="T1024" s="5"/>
      <c r="V1024" s="5"/>
    </row>
    <row r="1025" ht="15.75" customHeight="1">
      <c r="D1025" s="3"/>
      <c r="M1025" s="4"/>
      <c r="N1025" s="5"/>
      <c r="S1025" s="4"/>
      <c r="T1025" s="5"/>
      <c r="V1025" s="5"/>
    </row>
    <row r="1026" ht="15.75" customHeight="1">
      <c r="D1026" s="3"/>
      <c r="M1026" s="4"/>
      <c r="N1026" s="5"/>
      <c r="S1026" s="4"/>
      <c r="T1026" s="5"/>
      <c r="V1026" s="5"/>
    </row>
    <row r="1027" ht="15.75" customHeight="1">
      <c r="D1027" s="3"/>
      <c r="M1027" s="4"/>
      <c r="N1027" s="5"/>
      <c r="S1027" s="4"/>
      <c r="T1027" s="5"/>
      <c r="V1027" s="5"/>
    </row>
    <row r="1028" ht="15.75" customHeight="1">
      <c r="D1028" s="3"/>
      <c r="M1028" s="4"/>
      <c r="N1028" s="5"/>
      <c r="S1028" s="4"/>
      <c r="T1028" s="5"/>
      <c r="V1028" s="5"/>
    </row>
    <row r="1029" ht="15.75" customHeight="1">
      <c r="D1029" s="3"/>
      <c r="M1029" s="4"/>
      <c r="N1029" s="5"/>
      <c r="S1029" s="4"/>
      <c r="T1029" s="5"/>
      <c r="V1029" s="5"/>
    </row>
    <row r="1030" ht="15.75" customHeight="1">
      <c r="D1030" s="3"/>
      <c r="M1030" s="4"/>
      <c r="N1030" s="5"/>
      <c r="S1030" s="4"/>
      <c r="T1030" s="5"/>
      <c r="V1030" s="5"/>
    </row>
    <row r="1031" ht="15.75" customHeight="1">
      <c r="D1031" s="3"/>
      <c r="M1031" s="4"/>
      <c r="N1031" s="5"/>
      <c r="S1031" s="4"/>
      <c r="T1031" s="5"/>
      <c r="V1031" s="5"/>
    </row>
    <row r="1032" ht="15.75" customHeight="1">
      <c r="D1032" s="3"/>
      <c r="M1032" s="4"/>
      <c r="N1032" s="5"/>
      <c r="S1032" s="4"/>
      <c r="T1032" s="5"/>
      <c r="V1032" s="5"/>
    </row>
    <row r="1033" ht="15.75" customHeight="1">
      <c r="D1033" s="3"/>
      <c r="M1033" s="4"/>
      <c r="N1033" s="5"/>
      <c r="S1033" s="4"/>
      <c r="T1033" s="5"/>
      <c r="V1033" s="5"/>
    </row>
    <row r="1034" ht="15.75" customHeight="1">
      <c r="D1034" s="3"/>
      <c r="M1034" s="4"/>
      <c r="N1034" s="5"/>
      <c r="S1034" s="4"/>
      <c r="T1034" s="5"/>
      <c r="V1034" s="5"/>
    </row>
    <row r="1035" ht="15.75" customHeight="1">
      <c r="D1035" s="3"/>
      <c r="M1035" s="4"/>
      <c r="N1035" s="5"/>
      <c r="S1035" s="4"/>
      <c r="T1035" s="5"/>
      <c r="V1035" s="5"/>
    </row>
    <row r="1036" ht="15.75" customHeight="1">
      <c r="D1036" s="3"/>
      <c r="M1036" s="4"/>
      <c r="N1036" s="5"/>
      <c r="S1036" s="4"/>
      <c r="T1036" s="5"/>
      <c r="V1036" s="5"/>
    </row>
    <row r="1037" ht="15.75" customHeight="1">
      <c r="D1037" s="3"/>
      <c r="M1037" s="4"/>
      <c r="N1037" s="5"/>
      <c r="S1037" s="4"/>
      <c r="T1037" s="5"/>
      <c r="V1037" s="5"/>
    </row>
    <row r="1038" ht="15.75" customHeight="1">
      <c r="D1038" s="3"/>
      <c r="M1038" s="4"/>
      <c r="N1038" s="5"/>
      <c r="S1038" s="4"/>
      <c r="T1038" s="5"/>
      <c r="V1038" s="5"/>
    </row>
    <row r="1039" ht="15.75" customHeight="1">
      <c r="D1039" s="3"/>
      <c r="M1039" s="4"/>
      <c r="N1039" s="5"/>
      <c r="S1039" s="4"/>
      <c r="T1039" s="5"/>
      <c r="V1039" s="5"/>
    </row>
    <row r="1040" ht="15.75" customHeight="1">
      <c r="D1040" s="3"/>
      <c r="M1040" s="4"/>
      <c r="N1040" s="5"/>
      <c r="S1040" s="4"/>
      <c r="T1040" s="5"/>
      <c r="V1040" s="5"/>
    </row>
    <row r="1041" ht="15.75" customHeight="1">
      <c r="D1041" s="3"/>
      <c r="M1041" s="4"/>
      <c r="N1041" s="5"/>
      <c r="S1041" s="4"/>
      <c r="T1041" s="5"/>
      <c r="V1041" s="5"/>
    </row>
    <row r="1042" ht="15.75" customHeight="1">
      <c r="D1042" s="3"/>
      <c r="M1042" s="4"/>
      <c r="N1042" s="5"/>
      <c r="S1042" s="4"/>
      <c r="T1042" s="5"/>
      <c r="V1042" s="5"/>
    </row>
    <row r="1043" ht="15.75" customHeight="1">
      <c r="D1043" s="3"/>
      <c r="M1043" s="4"/>
      <c r="N1043" s="5"/>
      <c r="S1043" s="4"/>
      <c r="T1043" s="5"/>
      <c r="V1043" s="5"/>
    </row>
    <row r="1044" ht="15.75" customHeight="1">
      <c r="D1044" s="3"/>
      <c r="M1044" s="4"/>
      <c r="N1044" s="5"/>
      <c r="S1044" s="4"/>
      <c r="T1044" s="5"/>
      <c r="V1044" s="5"/>
    </row>
    <row r="1045" ht="15.75" customHeight="1">
      <c r="D1045" s="3"/>
      <c r="M1045" s="4"/>
      <c r="N1045" s="5"/>
      <c r="S1045" s="4"/>
      <c r="T1045" s="5"/>
      <c r="V1045" s="5"/>
    </row>
    <row r="1046" ht="15.75" customHeight="1">
      <c r="D1046" s="3"/>
      <c r="M1046" s="4"/>
      <c r="N1046" s="5"/>
      <c r="S1046" s="4"/>
      <c r="T1046" s="5"/>
      <c r="V1046" s="5"/>
    </row>
    <row r="1047" ht="15.75" customHeight="1">
      <c r="D1047" s="3"/>
      <c r="M1047" s="4"/>
      <c r="N1047" s="5"/>
      <c r="S1047" s="4"/>
      <c r="T1047" s="5"/>
      <c r="V1047" s="5"/>
    </row>
    <row r="1048" ht="15.75" customHeight="1">
      <c r="D1048" s="3"/>
      <c r="M1048" s="4"/>
      <c r="N1048" s="5"/>
      <c r="S1048" s="4"/>
      <c r="T1048" s="5"/>
      <c r="V1048" s="5"/>
    </row>
    <row r="1049" ht="15.75" customHeight="1">
      <c r="D1049" s="3"/>
      <c r="M1049" s="4"/>
      <c r="N1049" s="5"/>
      <c r="S1049" s="4"/>
      <c r="T1049" s="5"/>
      <c r="V1049" s="5"/>
    </row>
    <row r="1050" ht="15.75" customHeight="1">
      <c r="D1050" s="3"/>
      <c r="M1050" s="4"/>
      <c r="N1050" s="5"/>
      <c r="S1050" s="4"/>
      <c r="T1050" s="5"/>
      <c r="V1050" s="5"/>
    </row>
    <row r="1051" ht="15.75" customHeight="1">
      <c r="D1051" s="3"/>
      <c r="M1051" s="4"/>
      <c r="N1051" s="5"/>
      <c r="S1051" s="4"/>
      <c r="T1051" s="5"/>
      <c r="V1051" s="5"/>
    </row>
    <row r="1052" ht="15.75" customHeight="1">
      <c r="D1052" s="3"/>
      <c r="M1052" s="4"/>
      <c r="N1052" s="5"/>
      <c r="S1052" s="4"/>
      <c r="T1052" s="5"/>
      <c r="V1052" s="5"/>
    </row>
    <row r="1053" ht="15.75" customHeight="1">
      <c r="D1053" s="3"/>
      <c r="M1053" s="4"/>
      <c r="N1053" s="5"/>
      <c r="S1053" s="4"/>
      <c r="T1053" s="5"/>
      <c r="V1053" s="5"/>
    </row>
    <row r="1054" ht="15.75" customHeight="1">
      <c r="D1054" s="3"/>
      <c r="M1054" s="4"/>
      <c r="N1054" s="5"/>
      <c r="S1054" s="4"/>
      <c r="T1054" s="5"/>
      <c r="V1054" s="5"/>
    </row>
    <row r="1055" ht="15.75" customHeight="1">
      <c r="D1055" s="3"/>
      <c r="M1055" s="4"/>
      <c r="N1055" s="5"/>
      <c r="S1055" s="4"/>
      <c r="T1055" s="5"/>
      <c r="V1055" s="5"/>
    </row>
    <row r="1056" ht="15.75" customHeight="1">
      <c r="D1056" s="3"/>
      <c r="M1056" s="4"/>
      <c r="N1056" s="5"/>
      <c r="S1056" s="4"/>
      <c r="T1056" s="5"/>
      <c r="V1056" s="5"/>
    </row>
    <row r="1057" ht="15.75" customHeight="1">
      <c r="D1057" s="3"/>
      <c r="M1057" s="4"/>
      <c r="N1057" s="5"/>
      <c r="S1057" s="4"/>
      <c r="T1057" s="5"/>
      <c r="V1057" s="5"/>
    </row>
    <row r="1058" ht="15.75" customHeight="1">
      <c r="D1058" s="3"/>
      <c r="M1058" s="4"/>
      <c r="N1058" s="5"/>
      <c r="S1058" s="4"/>
      <c r="T1058" s="5"/>
      <c r="V1058" s="5"/>
    </row>
    <row r="1059" ht="15.75" customHeight="1">
      <c r="D1059" s="3"/>
      <c r="M1059" s="4"/>
      <c r="N1059" s="5"/>
      <c r="S1059" s="4"/>
      <c r="T1059" s="5"/>
      <c r="V1059" s="5"/>
    </row>
  </sheetData>
  <mergeCells count="35">
    <mergeCell ref="B3:H3"/>
    <mergeCell ref="L3:P3"/>
    <mergeCell ref="R3:W3"/>
    <mergeCell ref="Z3:AA3"/>
    <mergeCell ref="AC3:AD3"/>
    <mergeCell ref="AF3:AG3"/>
    <mergeCell ref="Z12:AA12"/>
    <mergeCell ref="L136:M137"/>
    <mergeCell ref="L138:M138"/>
    <mergeCell ref="O56:O58"/>
    <mergeCell ref="N136:N137"/>
    <mergeCell ref="R136:S137"/>
    <mergeCell ref="T136:T137"/>
    <mergeCell ref="W136:W137"/>
    <mergeCell ref="B137:D137"/>
    <mergeCell ref="B138:D138"/>
    <mergeCell ref="B139:D139"/>
    <mergeCell ref="L139:M139"/>
    <mergeCell ref="B140:D140"/>
    <mergeCell ref="L140:M140"/>
    <mergeCell ref="B141:D141"/>
    <mergeCell ref="D147:G147"/>
    <mergeCell ref="C150:G150"/>
    <mergeCell ref="D164:G164"/>
    <mergeCell ref="D165:G165"/>
    <mergeCell ref="D166:G166"/>
    <mergeCell ref="D167:G167"/>
    <mergeCell ref="D168:G168"/>
    <mergeCell ref="D153:E153"/>
    <mergeCell ref="D154:E154"/>
    <mergeCell ref="C158:G159"/>
    <mergeCell ref="D160:G160"/>
    <mergeCell ref="D161:G161"/>
    <mergeCell ref="D162:G162"/>
    <mergeCell ref="D163:G163"/>
  </mergeCells>
  <printOptions gridLines="1" horizontalCentered="1"/>
  <pageMargins bottom="0.75" footer="0.0" header="0.0" left="0.25" right="0.25" top="0.75"/>
  <pageSetup paperSize="9" scale="35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86"/>
    <col customWidth="1" min="3" max="3" width="28.57"/>
    <col customWidth="1" min="4" max="4" width="22.57"/>
    <col customWidth="1" min="6" max="6" width="29.86"/>
    <col customWidth="1" min="7" max="7" width="29.71"/>
    <col customWidth="1" min="8" max="8" width="19.43"/>
    <col customWidth="1" min="10" max="10" width="29.14"/>
    <col customWidth="1" min="11" max="11" width="30.57"/>
    <col customWidth="1" min="12" max="12" width="20.0"/>
  </cols>
  <sheetData>
    <row r="3">
      <c r="B3" s="149" t="s">
        <v>170</v>
      </c>
      <c r="C3" s="150"/>
      <c r="D3" s="16"/>
      <c r="F3" s="151" t="s">
        <v>171</v>
      </c>
      <c r="G3" s="150"/>
      <c r="H3" s="16"/>
      <c r="J3" s="152" t="s">
        <v>172</v>
      </c>
      <c r="K3" s="150"/>
      <c r="L3" s="16"/>
    </row>
    <row r="4">
      <c r="B4" s="153" t="s">
        <v>173</v>
      </c>
      <c r="C4" s="16"/>
      <c r="D4" s="154" t="s">
        <v>174</v>
      </c>
      <c r="F4" s="153" t="s">
        <v>173</v>
      </c>
      <c r="G4" s="16"/>
      <c r="H4" s="154" t="s">
        <v>174</v>
      </c>
      <c r="J4" s="153" t="s">
        <v>173</v>
      </c>
      <c r="K4" s="16"/>
      <c r="L4" s="154" t="s">
        <v>174</v>
      </c>
    </row>
    <row r="5">
      <c r="B5" s="155">
        <v>45518.0</v>
      </c>
      <c r="C5" s="156">
        <v>45597.0</v>
      </c>
      <c r="D5" s="157">
        <v>20850.0</v>
      </c>
      <c r="F5" s="158">
        <v>45527.0</v>
      </c>
      <c r="G5" s="156">
        <v>45597.0</v>
      </c>
      <c r="H5" s="159">
        <f>3970+11000
</f>
        <v>14970</v>
      </c>
      <c r="J5" s="155">
        <v>45518.0</v>
      </c>
      <c r="K5" s="156">
        <v>45597.0</v>
      </c>
      <c r="L5" s="159">
        <f t="shared" ref="L5:L9" si="1">D5-H5</f>
        <v>5880</v>
      </c>
    </row>
    <row r="6">
      <c r="B6" s="160">
        <v>45602.0</v>
      </c>
      <c r="C6" s="161">
        <v>45741.0</v>
      </c>
      <c r="D6" s="162">
        <v>39345.0</v>
      </c>
      <c r="F6" s="160">
        <v>45602.0</v>
      </c>
      <c r="G6" s="161">
        <v>45741.0</v>
      </c>
      <c r="H6" s="162">
        <v>30529.0</v>
      </c>
      <c r="J6" s="160">
        <v>45602.0</v>
      </c>
      <c r="K6" s="161">
        <v>45741.0</v>
      </c>
      <c r="L6" s="159">
        <f t="shared" si="1"/>
        <v>8816</v>
      </c>
    </row>
    <row r="7">
      <c r="B7" s="163">
        <v>45742.0</v>
      </c>
      <c r="C7" s="163">
        <v>45895.0</v>
      </c>
      <c r="D7" s="162">
        <v>65921.0</v>
      </c>
      <c r="F7" s="163">
        <v>45742.0</v>
      </c>
      <c r="G7" s="163">
        <v>45895.0</v>
      </c>
      <c r="H7" s="162">
        <v>57875.0</v>
      </c>
      <c r="J7" s="163">
        <v>45742.0</v>
      </c>
      <c r="K7" s="163">
        <v>45895.0</v>
      </c>
      <c r="L7" s="159">
        <f t="shared" si="1"/>
        <v>8046</v>
      </c>
    </row>
    <row r="8">
      <c r="B8" s="163">
        <v>45895.0</v>
      </c>
      <c r="C8" s="163">
        <v>45979.0</v>
      </c>
      <c r="D8" s="162">
        <v>25282.0</v>
      </c>
      <c r="F8" s="163">
        <v>45895.0</v>
      </c>
      <c r="G8" s="163">
        <v>45979.0</v>
      </c>
      <c r="H8" s="162">
        <v>18703.0</v>
      </c>
      <c r="J8" s="163">
        <v>45895.0</v>
      </c>
      <c r="K8" s="163">
        <v>45979.0</v>
      </c>
      <c r="L8" s="159">
        <f t="shared" si="1"/>
        <v>6579</v>
      </c>
    </row>
    <row r="9">
      <c r="B9" s="163">
        <v>45979.0</v>
      </c>
      <c r="C9" s="163">
        <v>46107.0</v>
      </c>
      <c r="D9" s="164">
        <v>32493.0</v>
      </c>
      <c r="F9" s="163">
        <v>45979.0</v>
      </c>
      <c r="G9" s="163">
        <v>46107.0</v>
      </c>
      <c r="H9" s="162">
        <f>30830-2830</f>
        <v>28000</v>
      </c>
      <c r="J9" s="163">
        <v>45979.0</v>
      </c>
      <c r="K9" s="163">
        <v>46107.0</v>
      </c>
      <c r="L9" s="159">
        <f t="shared" si="1"/>
        <v>4493</v>
      </c>
    </row>
    <row r="10">
      <c r="B10" s="165"/>
      <c r="C10" s="165"/>
      <c r="D10" s="165"/>
      <c r="F10" s="165"/>
      <c r="G10" s="165"/>
      <c r="H10" s="165"/>
      <c r="J10" s="165"/>
      <c r="K10" s="165"/>
      <c r="L10" s="165"/>
    </row>
    <row r="11">
      <c r="B11" s="165"/>
      <c r="C11" s="165"/>
      <c r="D11" s="165"/>
      <c r="F11" s="165"/>
      <c r="G11" s="165"/>
      <c r="H11" s="165"/>
      <c r="J11" s="165"/>
      <c r="K11" s="165"/>
      <c r="L11" s="165"/>
    </row>
    <row r="12">
      <c r="B12" s="165"/>
      <c r="C12" s="165"/>
      <c r="D12" s="165"/>
      <c r="F12" s="165"/>
      <c r="G12" s="165"/>
      <c r="H12" s="165"/>
      <c r="J12" s="165"/>
      <c r="K12" s="165"/>
      <c r="L12" s="165"/>
    </row>
    <row r="13">
      <c r="B13" s="165"/>
      <c r="C13" s="165"/>
      <c r="D13" s="165"/>
      <c r="F13" s="165"/>
      <c r="G13" s="165"/>
      <c r="H13" s="165"/>
      <c r="J13" s="165"/>
      <c r="K13" s="165"/>
      <c r="L13" s="165"/>
    </row>
    <row r="14">
      <c r="B14" s="165"/>
      <c r="C14" s="165"/>
      <c r="D14" s="165"/>
      <c r="F14" s="165"/>
      <c r="G14" s="165"/>
      <c r="H14" s="165"/>
      <c r="J14" s="165"/>
      <c r="K14" s="165"/>
      <c r="L14" s="165"/>
    </row>
    <row r="15">
      <c r="B15" s="166" t="s">
        <v>175</v>
      </c>
      <c r="C15" s="16"/>
      <c r="D15" s="167">
        <f>SUM(D5:D9)</f>
        <v>183891</v>
      </c>
      <c r="F15" s="166" t="s">
        <v>175</v>
      </c>
      <c r="G15" s="16"/>
      <c r="H15" s="167">
        <f>SUM(H5:H9)</f>
        <v>150077</v>
      </c>
      <c r="J15" s="166" t="s">
        <v>175</v>
      </c>
      <c r="K15" s="16"/>
      <c r="L15" s="167">
        <f>SUM(L5:L9)</f>
        <v>33814</v>
      </c>
    </row>
  </sheetData>
  <mergeCells count="9">
    <mergeCell ref="F15:G15"/>
    <mergeCell ref="J15:K15"/>
    <mergeCell ref="B3:D3"/>
    <mergeCell ref="F3:H3"/>
    <mergeCell ref="J3:L3"/>
    <mergeCell ref="B4:C4"/>
    <mergeCell ref="F4:G4"/>
    <mergeCell ref="J4:K4"/>
    <mergeCell ref="B15:C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5.43"/>
    <col customWidth="1" min="3" max="3" width="76.43"/>
    <col customWidth="1" min="4" max="4" width="21.14"/>
    <col customWidth="1" min="5" max="5" width="23.86"/>
    <col customWidth="1" min="6" max="6" width="21.71"/>
    <col customWidth="1" min="7" max="7" width="43.43"/>
    <col customWidth="1" min="8" max="8" width="27.0"/>
    <col customWidth="1" min="9" max="11" width="8.86"/>
    <col customWidth="1" min="12" max="12" width="62.0"/>
    <col customWidth="1" min="13" max="13" width="57.71"/>
    <col customWidth="1" min="14" max="14" width="23.29"/>
    <col customWidth="1" min="15" max="15" width="20.29"/>
    <col customWidth="1" min="16" max="16" width="19.14"/>
    <col customWidth="1" min="17" max="17" width="8.86"/>
    <col customWidth="1" min="18" max="18" width="82.57"/>
    <col customWidth="1" min="19" max="19" width="45.29"/>
    <col customWidth="1" min="20" max="20" width="19.14"/>
    <col customWidth="1" min="21" max="21" width="22.29"/>
    <col customWidth="1" min="22" max="22" width="16.71"/>
    <col customWidth="1" min="23" max="23" width="21.86"/>
    <col customWidth="1" min="24" max="25" width="8.86"/>
    <col customWidth="1" min="26" max="26" width="59.14"/>
    <col customWidth="1" min="27" max="27" width="15.71"/>
    <col customWidth="1" min="28" max="28" width="8.86"/>
    <col customWidth="1" min="29" max="29" width="72.71"/>
    <col customWidth="1" min="30" max="30" width="19.86"/>
    <col customWidth="1" min="31" max="31" width="8.86"/>
    <col customWidth="1" min="32" max="32" width="78.71"/>
    <col customWidth="1" min="33" max="33" width="20.43"/>
    <col customWidth="1" min="34" max="37" width="8.86"/>
  </cols>
  <sheetData>
    <row r="1">
      <c r="A1" s="1" t="s">
        <v>0</v>
      </c>
      <c r="D1" s="3"/>
      <c r="M1" s="4"/>
      <c r="N1" s="5"/>
      <c r="S1" s="4"/>
      <c r="T1" s="5"/>
      <c r="V1" s="5"/>
      <c r="AE1" s="6" t="s">
        <v>1</v>
      </c>
      <c r="AF1" s="6"/>
      <c r="AG1" s="6" t="s">
        <v>1</v>
      </c>
      <c r="AH1" s="6"/>
      <c r="AI1" s="6"/>
    </row>
    <row r="2">
      <c r="D2" s="3"/>
      <c r="M2" s="4"/>
      <c r="N2" s="5"/>
      <c r="S2" s="4"/>
      <c r="T2" s="5"/>
      <c r="V2" s="5"/>
    </row>
    <row r="3" ht="36.75" customHeight="1">
      <c r="A3" s="7" t="s">
        <v>1</v>
      </c>
      <c r="B3" s="8" t="s">
        <v>2</v>
      </c>
      <c r="C3" s="9"/>
      <c r="D3" s="9"/>
      <c r="E3" s="9"/>
      <c r="F3" s="9"/>
      <c r="G3" s="9"/>
      <c r="H3" s="10"/>
      <c r="L3" s="11" t="s">
        <v>3</v>
      </c>
      <c r="M3" s="12"/>
      <c r="N3" s="12"/>
      <c r="O3" s="12"/>
      <c r="P3" s="13"/>
      <c r="R3" s="14" t="s">
        <v>4</v>
      </c>
      <c r="S3" s="12"/>
      <c r="T3" s="12"/>
      <c r="U3" s="12"/>
      <c r="V3" s="12"/>
      <c r="W3" s="13"/>
      <c r="Z3" s="15" t="s">
        <v>5</v>
      </c>
      <c r="AA3" s="16"/>
      <c r="AC3" s="15" t="s">
        <v>6</v>
      </c>
      <c r="AD3" s="16"/>
      <c r="AF3" s="15" t="s">
        <v>7</v>
      </c>
      <c r="AG3" s="16"/>
    </row>
    <row r="4">
      <c r="B4" s="17" t="s">
        <v>8</v>
      </c>
      <c r="C4" s="18" t="s">
        <v>9</v>
      </c>
      <c r="D4" s="19" t="s">
        <v>10</v>
      </c>
      <c r="E4" s="20" t="s">
        <v>11</v>
      </c>
      <c r="F4" s="21" t="s">
        <v>12</v>
      </c>
      <c r="G4" s="22" t="s">
        <v>13</v>
      </c>
      <c r="H4" s="23" t="s">
        <v>14</v>
      </c>
      <c r="L4" s="24" t="s">
        <v>15</v>
      </c>
      <c r="M4" s="25" t="s">
        <v>9</v>
      </c>
      <c r="N4" s="26" t="s">
        <v>11</v>
      </c>
      <c r="O4" s="27" t="s">
        <v>16</v>
      </c>
      <c r="P4" s="28" t="s">
        <v>17</v>
      </c>
      <c r="R4" s="29" t="s">
        <v>15</v>
      </c>
      <c r="S4" s="30" t="s">
        <v>9</v>
      </c>
      <c r="T4" s="31" t="s">
        <v>11</v>
      </c>
      <c r="U4" s="32" t="s">
        <v>16</v>
      </c>
      <c r="V4" s="33" t="s">
        <v>17</v>
      </c>
      <c r="W4" s="34" t="s">
        <v>18</v>
      </c>
    </row>
    <row r="5">
      <c r="A5" s="35">
        <v>1.0</v>
      </c>
      <c r="B5" s="17" t="s">
        <v>176</v>
      </c>
      <c r="C5" s="18">
        <v>45895.0</v>
      </c>
      <c r="D5" s="19">
        <f t="shared" ref="D5:D6" si="1">IF(C5="","",C5)</f>
        <v>45895</v>
      </c>
      <c r="E5" s="20">
        <v>370.0</v>
      </c>
      <c r="F5" s="21"/>
      <c r="G5" s="22"/>
      <c r="H5" s="39"/>
      <c r="L5" s="168" t="s">
        <v>177</v>
      </c>
      <c r="M5" s="169">
        <v>45908.0</v>
      </c>
      <c r="N5" s="26">
        <v>1200.0</v>
      </c>
      <c r="O5" s="43"/>
      <c r="P5" s="44"/>
      <c r="R5" s="53" t="s">
        <v>24</v>
      </c>
      <c r="S5" s="65">
        <v>45908.0</v>
      </c>
      <c r="T5" s="66">
        <v>125.0</v>
      </c>
      <c r="U5" s="58"/>
      <c r="V5" s="62">
        <v>125.0</v>
      </c>
      <c r="W5" s="50">
        <f t="shared" ref="W5:W17" si="2">T5-V5</f>
        <v>0</v>
      </c>
      <c r="Z5" s="51" t="s">
        <v>23</v>
      </c>
      <c r="AA5" s="52">
        <v>14.0</v>
      </c>
      <c r="AC5" s="51" t="s">
        <v>24</v>
      </c>
      <c r="AD5" s="52">
        <v>102.0</v>
      </c>
      <c r="AF5" s="53" t="s">
        <v>25</v>
      </c>
      <c r="AG5" s="54">
        <v>900.0</v>
      </c>
    </row>
    <row r="6">
      <c r="A6" s="35">
        <v>2.0</v>
      </c>
      <c r="B6" s="17" t="s">
        <v>130</v>
      </c>
      <c r="C6" s="18">
        <v>45895.0</v>
      </c>
      <c r="D6" s="19">
        <f t="shared" si="1"/>
        <v>45895</v>
      </c>
      <c r="E6" s="20">
        <v>500.0</v>
      </c>
      <c r="F6" s="21"/>
      <c r="G6" s="22"/>
      <c r="H6" s="39"/>
      <c r="L6" s="168" t="s">
        <v>177</v>
      </c>
      <c r="M6" s="169">
        <v>45909.0</v>
      </c>
      <c r="N6" s="26">
        <v>500.0</v>
      </c>
      <c r="O6" s="43"/>
      <c r="P6" s="44"/>
      <c r="R6" s="53" t="s">
        <v>23</v>
      </c>
      <c r="S6" s="65">
        <v>45926.0</v>
      </c>
      <c r="T6" s="66">
        <v>94.0</v>
      </c>
      <c r="U6" s="58"/>
      <c r="V6" s="49">
        <v>94.0</v>
      </c>
      <c r="W6" s="170">
        <f t="shared" si="2"/>
        <v>0</v>
      </c>
      <c r="Z6" s="51" t="s">
        <v>30</v>
      </c>
      <c r="AA6" s="52">
        <v>87.0</v>
      </c>
      <c r="AC6" s="51" t="s">
        <v>31</v>
      </c>
      <c r="AD6" s="52">
        <v>95.0</v>
      </c>
      <c r="AF6" s="53"/>
      <c r="AG6" s="52"/>
    </row>
    <row r="7">
      <c r="A7" s="35">
        <v>3.0</v>
      </c>
      <c r="B7" s="17" t="s">
        <v>32</v>
      </c>
      <c r="C7" s="18">
        <v>45901.0</v>
      </c>
      <c r="D7" s="19">
        <v>45904.0</v>
      </c>
      <c r="E7" s="20">
        <v>500.0</v>
      </c>
      <c r="F7" s="21"/>
      <c r="G7" s="22"/>
      <c r="H7" s="39"/>
      <c r="L7" s="168" t="s">
        <v>177</v>
      </c>
      <c r="M7" s="169">
        <v>45918.0</v>
      </c>
      <c r="N7" s="26">
        <v>400.0</v>
      </c>
      <c r="O7" s="43"/>
      <c r="P7" s="44"/>
      <c r="R7" s="53" t="s">
        <v>178</v>
      </c>
      <c r="S7" s="65">
        <v>45932.0</v>
      </c>
      <c r="T7" s="66">
        <v>500.0</v>
      </c>
      <c r="U7" s="58" t="s">
        <v>179</v>
      </c>
      <c r="V7" s="62">
        <v>500.0</v>
      </c>
      <c r="W7" s="50">
        <f t="shared" si="2"/>
        <v>0</v>
      </c>
      <c r="Z7" s="51" t="s">
        <v>34</v>
      </c>
      <c r="AA7" s="52">
        <v>65.0</v>
      </c>
      <c r="AC7" s="51" t="s">
        <v>35</v>
      </c>
      <c r="AD7" s="52">
        <v>1200.0</v>
      </c>
      <c r="AF7" s="53"/>
      <c r="AG7" s="52"/>
    </row>
    <row r="8">
      <c r="A8" s="35">
        <v>4.0</v>
      </c>
      <c r="B8" s="17" t="s">
        <v>180</v>
      </c>
      <c r="C8" s="18"/>
      <c r="D8" s="19">
        <v>45904.0</v>
      </c>
      <c r="E8" s="20">
        <v>380.0</v>
      </c>
      <c r="F8" s="21"/>
      <c r="G8" s="22"/>
      <c r="H8" s="39"/>
      <c r="L8" s="168" t="s">
        <v>177</v>
      </c>
      <c r="M8" s="169">
        <v>45919.0</v>
      </c>
      <c r="N8" s="26">
        <v>100.0</v>
      </c>
      <c r="O8" s="43"/>
      <c r="P8" s="44"/>
      <c r="R8" s="53" t="s">
        <v>30</v>
      </c>
      <c r="S8" s="65">
        <v>45938.0</v>
      </c>
      <c r="T8" s="66">
        <v>157.0</v>
      </c>
      <c r="U8" s="58"/>
      <c r="V8" s="50">
        <v>157.0</v>
      </c>
      <c r="W8" s="170">
        <f t="shared" si="2"/>
        <v>0</v>
      </c>
      <c r="Z8" s="51" t="s">
        <v>39</v>
      </c>
      <c r="AA8" s="52">
        <v>0.0</v>
      </c>
      <c r="AC8" s="51"/>
      <c r="AD8" s="52"/>
      <c r="AF8" s="51"/>
      <c r="AG8" s="52"/>
    </row>
    <row r="9">
      <c r="A9" s="35">
        <v>5.0</v>
      </c>
      <c r="B9" s="17" t="s">
        <v>137</v>
      </c>
      <c r="C9" s="18">
        <v>45905.0</v>
      </c>
      <c r="D9" s="19">
        <f t="shared" ref="D9:D53" si="3">IF(C9="","",C9)</f>
        <v>45905</v>
      </c>
      <c r="E9" s="20">
        <v>1000.0</v>
      </c>
      <c r="F9" s="21"/>
      <c r="G9" s="22"/>
      <c r="H9" s="39"/>
      <c r="L9" s="168" t="s">
        <v>177</v>
      </c>
      <c r="M9" s="169">
        <v>45920.0</v>
      </c>
      <c r="N9" s="26">
        <v>500.0</v>
      </c>
      <c r="O9" s="43"/>
      <c r="P9" s="44"/>
      <c r="R9" s="53" t="s">
        <v>34</v>
      </c>
      <c r="S9" s="65">
        <v>45947.0</v>
      </c>
      <c r="T9" s="66">
        <v>65.0</v>
      </c>
      <c r="U9" s="58" t="s">
        <v>179</v>
      </c>
      <c r="V9" s="49">
        <v>65.0</v>
      </c>
      <c r="W9" s="170">
        <f t="shared" si="2"/>
        <v>0</v>
      </c>
      <c r="Z9" s="51" t="s">
        <v>43</v>
      </c>
      <c r="AA9" s="52">
        <v>110.0</v>
      </c>
      <c r="AC9" s="51"/>
      <c r="AD9" s="52"/>
      <c r="AF9" s="51"/>
      <c r="AG9" s="52"/>
    </row>
    <row r="10">
      <c r="A10" s="35">
        <v>6.0</v>
      </c>
      <c r="B10" s="17" t="s">
        <v>124</v>
      </c>
      <c r="C10" s="18">
        <v>45874.0</v>
      </c>
      <c r="D10" s="19">
        <f t="shared" si="3"/>
        <v>45874</v>
      </c>
      <c r="E10" s="20">
        <v>100.0</v>
      </c>
      <c r="F10" s="21"/>
      <c r="G10" s="22"/>
      <c r="H10" s="39"/>
      <c r="L10" s="168" t="s">
        <v>177</v>
      </c>
      <c r="M10" s="169">
        <v>45920.0</v>
      </c>
      <c r="N10" s="26">
        <v>1000.0</v>
      </c>
      <c r="O10" s="43"/>
      <c r="P10" s="44"/>
      <c r="R10" s="53" t="s">
        <v>181</v>
      </c>
      <c r="S10" s="65">
        <v>45952.0</v>
      </c>
      <c r="T10" s="66">
        <v>1142.0</v>
      </c>
      <c r="U10" s="58"/>
      <c r="V10" s="62">
        <v>1142.0</v>
      </c>
      <c r="W10" s="50">
        <f t="shared" si="2"/>
        <v>0</v>
      </c>
      <c r="Z10" s="59" t="s">
        <v>46</v>
      </c>
      <c r="AA10" s="52">
        <f>SUM(AA5:AA9)</f>
        <v>276</v>
      </c>
      <c r="AC10" s="59" t="s">
        <v>46</v>
      </c>
      <c r="AD10" s="52">
        <f>SUM(AD5:AD9)</f>
        <v>1397</v>
      </c>
      <c r="AF10" s="59" t="s">
        <v>46</v>
      </c>
      <c r="AG10" s="52">
        <f>SUM(AG5:AG9)</f>
        <v>900</v>
      </c>
    </row>
    <row r="11">
      <c r="A11" s="35">
        <v>7.0</v>
      </c>
      <c r="B11" s="17" t="s">
        <v>61</v>
      </c>
      <c r="C11" s="18">
        <v>45908.0</v>
      </c>
      <c r="D11" s="19">
        <f t="shared" si="3"/>
        <v>45908</v>
      </c>
      <c r="E11" s="20">
        <v>250.0</v>
      </c>
      <c r="F11" s="21"/>
      <c r="G11" s="22"/>
      <c r="H11" s="39"/>
      <c r="L11" s="168" t="s">
        <v>177</v>
      </c>
      <c r="M11" s="169">
        <v>45923.0</v>
      </c>
      <c r="N11" s="26">
        <v>300.0</v>
      </c>
      <c r="O11" s="43"/>
      <c r="P11" s="44"/>
      <c r="R11" s="53" t="s">
        <v>39</v>
      </c>
      <c r="S11" s="65">
        <v>45957.0</v>
      </c>
      <c r="T11" s="66">
        <v>60.0</v>
      </c>
      <c r="U11" s="58" t="s">
        <v>182</v>
      </c>
      <c r="V11" s="62">
        <v>60.0</v>
      </c>
      <c r="W11" s="50">
        <f t="shared" si="2"/>
        <v>0</v>
      </c>
    </row>
    <row r="12">
      <c r="A12" s="35">
        <v>8.0</v>
      </c>
      <c r="B12" s="17" t="s">
        <v>176</v>
      </c>
      <c r="C12" s="18">
        <v>45909.0</v>
      </c>
      <c r="D12" s="19">
        <f t="shared" si="3"/>
        <v>45909</v>
      </c>
      <c r="E12" s="20">
        <v>330.0</v>
      </c>
      <c r="F12" s="21"/>
      <c r="G12" s="22"/>
      <c r="H12" s="39"/>
      <c r="L12" s="168" t="s">
        <v>177</v>
      </c>
      <c r="M12" s="169">
        <v>45924.0</v>
      </c>
      <c r="N12" s="26">
        <v>500.0</v>
      </c>
      <c r="O12" s="43"/>
      <c r="P12" s="44"/>
      <c r="R12" s="53" t="s">
        <v>183</v>
      </c>
      <c r="S12" s="65">
        <v>45959.0</v>
      </c>
      <c r="T12" s="60">
        <v>100.0</v>
      </c>
      <c r="U12" s="48" t="s">
        <v>179</v>
      </c>
      <c r="V12" s="49">
        <v>100.0</v>
      </c>
      <c r="W12" s="170">
        <f t="shared" si="2"/>
        <v>0</v>
      </c>
      <c r="X12" s="50"/>
      <c r="Z12" s="15" t="s">
        <v>51</v>
      </c>
      <c r="AA12" s="16"/>
      <c r="AF12" s="52">
        <f>SUM(AA10,AD10,AG10,AA19)</f>
        <v>2673</v>
      </c>
    </row>
    <row r="13">
      <c r="A13" s="35">
        <v>9.0</v>
      </c>
      <c r="B13" s="17" t="s">
        <v>26</v>
      </c>
      <c r="C13" s="18">
        <v>45910.0</v>
      </c>
      <c r="D13" s="19">
        <f t="shared" si="3"/>
        <v>45910</v>
      </c>
      <c r="E13" s="20">
        <v>1000.0</v>
      </c>
      <c r="F13" s="21"/>
      <c r="G13" s="22"/>
      <c r="H13" s="39"/>
      <c r="L13" s="168" t="s">
        <v>177</v>
      </c>
      <c r="M13" s="169">
        <v>45925.0</v>
      </c>
      <c r="N13" s="26">
        <v>500.0</v>
      </c>
      <c r="O13" s="43"/>
      <c r="P13" s="44"/>
      <c r="R13" s="53" t="s">
        <v>24</v>
      </c>
      <c r="S13" s="65">
        <v>45959.0</v>
      </c>
      <c r="T13" s="60">
        <v>102.0</v>
      </c>
      <c r="U13" s="58"/>
      <c r="V13" s="49">
        <v>102.0</v>
      </c>
      <c r="W13" s="170">
        <f t="shared" si="2"/>
        <v>0</v>
      </c>
    </row>
    <row r="14">
      <c r="A14" s="35">
        <v>10.0</v>
      </c>
      <c r="B14" s="17" t="s">
        <v>184</v>
      </c>
      <c r="C14" s="18">
        <v>45910.0</v>
      </c>
      <c r="D14" s="19">
        <f t="shared" si="3"/>
        <v>45910</v>
      </c>
      <c r="E14" s="20">
        <v>1000.0</v>
      </c>
      <c r="F14" s="21"/>
      <c r="G14" s="22"/>
      <c r="H14" s="39"/>
      <c r="L14" s="168" t="s">
        <v>185</v>
      </c>
      <c r="M14" s="169">
        <v>45927.0</v>
      </c>
      <c r="N14" s="26">
        <v>1000.0</v>
      </c>
      <c r="O14" s="43"/>
      <c r="P14" s="44"/>
      <c r="R14" s="53" t="s">
        <v>31</v>
      </c>
      <c r="S14" s="65">
        <v>45962.0</v>
      </c>
      <c r="T14" s="66">
        <v>95.0</v>
      </c>
      <c r="U14" s="58"/>
      <c r="V14" s="49">
        <v>95.0</v>
      </c>
      <c r="W14" s="170">
        <f t="shared" si="2"/>
        <v>0</v>
      </c>
      <c r="Z14" s="61" t="s">
        <v>56</v>
      </c>
      <c r="AA14" s="54">
        <v>100.0</v>
      </c>
    </row>
    <row r="15">
      <c r="A15" s="35">
        <v>11.0</v>
      </c>
      <c r="B15" s="17" t="s">
        <v>61</v>
      </c>
      <c r="C15" s="18">
        <v>45910.0</v>
      </c>
      <c r="D15" s="19">
        <f t="shared" si="3"/>
        <v>45910</v>
      </c>
      <c r="E15" s="20">
        <v>370.0</v>
      </c>
      <c r="F15" s="21"/>
      <c r="G15" s="22"/>
      <c r="H15" s="39"/>
      <c r="L15" s="171" t="s">
        <v>186</v>
      </c>
      <c r="M15" s="169">
        <v>45933.0</v>
      </c>
      <c r="N15" s="26">
        <v>700.0</v>
      </c>
      <c r="O15" s="43"/>
      <c r="P15" s="44"/>
      <c r="R15" s="53" t="s">
        <v>25</v>
      </c>
      <c r="S15" s="65">
        <v>45965.0</v>
      </c>
      <c r="T15" s="66">
        <v>900.0</v>
      </c>
      <c r="U15" s="58" t="s">
        <v>179</v>
      </c>
      <c r="V15" s="49">
        <v>900.0</v>
      </c>
      <c r="W15" s="170">
        <f t="shared" si="2"/>
        <v>0</v>
      </c>
      <c r="Z15" s="51"/>
      <c r="AA15" s="52"/>
    </row>
    <row r="16">
      <c r="A16" s="35">
        <v>12.0</v>
      </c>
      <c r="B16" s="17" t="s">
        <v>19</v>
      </c>
      <c r="C16" s="18">
        <v>45911.0</v>
      </c>
      <c r="D16" s="19">
        <f t="shared" si="3"/>
        <v>45911</v>
      </c>
      <c r="E16" s="20">
        <v>370.0</v>
      </c>
      <c r="F16" s="21"/>
      <c r="G16" s="22"/>
      <c r="H16" s="39"/>
      <c r="L16" s="171" t="s">
        <v>186</v>
      </c>
      <c r="M16" s="169">
        <v>45935.0</v>
      </c>
      <c r="N16" s="26">
        <v>700.0</v>
      </c>
      <c r="O16" s="43"/>
      <c r="P16" s="44"/>
      <c r="R16" s="53" t="s">
        <v>35</v>
      </c>
      <c r="S16" s="65">
        <v>45966.0</v>
      </c>
      <c r="T16" s="66">
        <v>1200.0</v>
      </c>
      <c r="U16" s="58"/>
      <c r="V16" s="49">
        <v>1200.0</v>
      </c>
      <c r="W16" s="170">
        <f t="shared" si="2"/>
        <v>0</v>
      </c>
      <c r="Z16" s="61"/>
      <c r="AA16" s="52"/>
    </row>
    <row r="17">
      <c r="A17" s="35">
        <v>13.0</v>
      </c>
      <c r="B17" s="17" t="s">
        <v>187</v>
      </c>
      <c r="C17" s="18">
        <v>45915.0</v>
      </c>
      <c r="D17" s="19">
        <f t="shared" si="3"/>
        <v>45915</v>
      </c>
      <c r="E17" s="20">
        <v>380.0</v>
      </c>
      <c r="F17" s="21"/>
      <c r="G17" s="22"/>
      <c r="H17" s="39"/>
      <c r="L17" s="171" t="s">
        <v>186</v>
      </c>
      <c r="M17" s="169">
        <v>45936.0</v>
      </c>
      <c r="N17" s="26">
        <v>200.0</v>
      </c>
      <c r="O17" s="43"/>
      <c r="P17" s="44"/>
      <c r="R17" s="45" t="s">
        <v>43</v>
      </c>
      <c r="S17" s="46">
        <v>45974.0</v>
      </c>
      <c r="T17" s="47">
        <v>110.0</v>
      </c>
      <c r="U17" s="58"/>
      <c r="V17" s="49">
        <v>110.0</v>
      </c>
      <c r="W17" s="170">
        <f t="shared" si="2"/>
        <v>0</v>
      </c>
      <c r="Z17" s="51"/>
      <c r="AA17" s="52"/>
    </row>
    <row r="18">
      <c r="A18" s="35">
        <v>14.0</v>
      </c>
      <c r="B18" s="17" t="s">
        <v>19</v>
      </c>
      <c r="C18" s="18">
        <v>45915.0</v>
      </c>
      <c r="D18" s="19">
        <f t="shared" si="3"/>
        <v>45915</v>
      </c>
      <c r="E18" s="20">
        <v>370.0</v>
      </c>
      <c r="F18" s="21"/>
      <c r="G18" s="22"/>
      <c r="H18" s="39"/>
      <c r="L18" s="171" t="s">
        <v>186</v>
      </c>
      <c r="M18" s="169">
        <v>45937.0</v>
      </c>
      <c r="N18" s="26">
        <v>200.0</v>
      </c>
      <c r="O18" s="43"/>
      <c r="P18" s="44"/>
      <c r="R18" s="53"/>
      <c r="S18" s="65"/>
      <c r="T18" s="66"/>
      <c r="U18" s="58"/>
      <c r="V18" s="62"/>
      <c r="W18" s="50"/>
      <c r="Z18" s="51"/>
      <c r="AA18" s="52"/>
    </row>
    <row r="19">
      <c r="A19" s="35">
        <v>15.0</v>
      </c>
      <c r="B19" s="17" t="s">
        <v>176</v>
      </c>
      <c r="C19" s="18">
        <v>45916.0</v>
      </c>
      <c r="D19" s="19">
        <f t="shared" si="3"/>
        <v>45916</v>
      </c>
      <c r="E19" s="20">
        <v>370.0</v>
      </c>
      <c r="F19" s="21"/>
      <c r="G19" s="22"/>
      <c r="H19" s="39"/>
      <c r="L19" s="172" t="s">
        <v>188</v>
      </c>
      <c r="M19" s="169">
        <v>45938.0</v>
      </c>
      <c r="N19" s="26">
        <v>500.0</v>
      </c>
      <c r="O19" s="43"/>
      <c r="P19" s="44"/>
      <c r="R19" s="53"/>
      <c r="S19" s="65"/>
      <c r="T19" s="66"/>
      <c r="U19" s="58"/>
      <c r="V19" s="62"/>
      <c r="W19" s="50"/>
      <c r="Z19" s="59" t="s">
        <v>46</v>
      </c>
      <c r="AA19" s="52">
        <f>SUM(AA14:AA18)</f>
        <v>100</v>
      </c>
    </row>
    <row r="20">
      <c r="A20" s="35">
        <v>16.0</v>
      </c>
      <c r="B20" s="17" t="s">
        <v>130</v>
      </c>
      <c r="C20" s="18">
        <v>45916.0</v>
      </c>
      <c r="D20" s="19">
        <f t="shared" si="3"/>
        <v>45916</v>
      </c>
      <c r="E20" s="20">
        <v>500.0</v>
      </c>
      <c r="F20" s="21"/>
      <c r="G20" s="22"/>
      <c r="H20" s="39"/>
      <c r="L20" s="171" t="s">
        <v>186</v>
      </c>
      <c r="M20" s="169">
        <v>45939.0</v>
      </c>
      <c r="N20" s="26">
        <v>2500.0</v>
      </c>
      <c r="O20" s="43"/>
      <c r="P20" s="44"/>
      <c r="R20" s="53"/>
      <c r="S20" s="65"/>
      <c r="T20" s="66"/>
      <c r="U20" s="58"/>
      <c r="V20" s="62"/>
      <c r="W20" s="50"/>
    </row>
    <row r="21" ht="15.75" customHeight="1">
      <c r="A21" s="35">
        <v>17.0</v>
      </c>
      <c r="B21" s="17" t="s">
        <v>61</v>
      </c>
      <c r="C21" s="18">
        <v>45917.0</v>
      </c>
      <c r="D21" s="19">
        <f t="shared" si="3"/>
        <v>45917</v>
      </c>
      <c r="E21" s="20">
        <v>400.0</v>
      </c>
      <c r="F21" s="21"/>
      <c r="G21" s="22"/>
      <c r="H21" s="39"/>
      <c r="L21" s="87" t="s">
        <v>189</v>
      </c>
      <c r="M21" s="169">
        <v>45945.0</v>
      </c>
      <c r="N21" s="26">
        <v>330.0</v>
      </c>
      <c r="O21" s="43"/>
      <c r="P21" s="44"/>
      <c r="R21" s="53"/>
      <c r="S21" s="65"/>
      <c r="T21" s="66"/>
      <c r="U21" s="58"/>
      <c r="V21" s="62"/>
      <c r="W21" s="50"/>
    </row>
    <row r="22" ht="15.75" customHeight="1">
      <c r="A22" s="35">
        <v>18.0</v>
      </c>
      <c r="B22" s="17" t="s">
        <v>26</v>
      </c>
      <c r="C22" s="18">
        <v>45917.0</v>
      </c>
      <c r="D22" s="19">
        <f t="shared" si="3"/>
        <v>45917</v>
      </c>
      <c r="E22" s="20">
        <v>500.0</v>
      </c>
      <c r="F22" s="21"/>
      <c r="G22" s="22"/>
      <c r="H22" s="39"/>
      <c r="L22" s="87" t="s">
        <v>190</v>
      </c>
      <c r="M22" s="169">
        <v>45950.0</v>
      </c>
      <c r="N22" s="26">
        <v>100.0</v>
      </c>
      <c r="O22" s="43"/>
      <c r="P22" s="44"/>
      <c r="R22" s="53"/>
      <c r="S22" s="65"/>
      <c r="T22" s="66"/>
      <c r="U22" s="58"/>
      <c r="V22" s="62"/>
      <c r="W22" s="50"/>
    </row>
    <row r="23" ht="15.75" customHeight="1">
      <c r="A23" s="35">
        <v>19.0</v>
      </c>
      <c r="B23" s="17" t="s">
        <v>32</v>
      </c>
      <c r="C23" s="18">
        <v>45918.0</v>
      </c>
      <c r="D23" s="19">
        <f t="shared" si="3"/>
        <v>45918</v>
      </c>
      <c r="E23" s="20">
        <v>500.0</v>
      </c>
      <c r="F23" s="21"/>
      <c r="G23" s="22"/>
      <c r="H23" s="39"/>
      <c r="L23" s="171" t="s">
        <v>186</v>
      </c>
      <c r="M23" s="169">
        <v>45947.0</v>
      </c>
      <c r="N23" s="26">
        <v>1500.0</v>
      </c>
      <c r="O23" s="43"/>
      <c r="P23" s="44"/>
      <c r="R23" s="53"/>
      <c r="S23" s="65"/>
      <c r="T23" s="66"/>
      <c r="U23" s="58"/>
      <c r="V23" s="62"/>
      <c r="W23" s="50"/>
    </row>
    <row r="24" ht="15.75" customHeight="1">
      <c r="A24" s="35">
        <v>20.0</v>
      </c>
      <c r="B24" s="17" t="s">
        <v>137</v>
      </c>
      <c r="C24" s="18">
        <v>45919.0</v>
      </c>
      <c r="D24" s="19">
        <f t="shared" si="3"/>
        <v>45919</v>
      </c>
      <c r="E24" s="20">
        <v>500.0</v>
      </c>
      <c r="F24" s="21"/>
      <c r="G24" s="22"/>
      <c r="H24" s="39"/>
      <c r="L24" s="87" t="s">
        <v>191</v>
      </c>
      <c r="M24" s="169">
        <v>45952.0</v>
      </c>
      <c r="N24" s="26">
        <v>67.0</v>
      </c>
      <c r="O24" s="43"/>
      <c r="P24" s="44"/>
      <c r="R24" s="53"/>
      <c r="S24" s="65"/>
      <c r="T24" s="66"/>
      <c r="U24" s="58"/>
      <c r="V24" s="62"/>
      <c r="W24" s="50"/>
    </row>
    <row r="25" ht="15.75" customHeight="1">
      <c r="A25" s="35">
        <v>21.0</v>
      </c>
      <c r="B25" s="17" t="s">
        <v>187</v>
      </c>
      <c r="C25" s="18">
        <v>45922.0</v>
      </c>
      <c r="D25" s="19">
        <f t="shared" si="3"/>
        <v>45922</v>
      </c>
      <c r="E25" s="20">
        <v>360.0</v>
      </c>
      <c r="F25" s="21"/>
      <c r="G25" s="22"/>
      <c r="H25" s="39"/>
      <c r="L25" s="87" t="s">
        <v>192</v>
      </c>
      <c r="M25" s="169">
        <v>45954.0</v>
      </c>
      <c r="N25" s="26">
        <v>181.0</v>
      </c>
      <c r="O25" s="43"/>
      <c r="P25" s="44"/>
      <c r="R25" s="53"/>
      <c r="S25" s="65"/>
      <c r="T25" s="66"/>
      <c r="U25" s="58"/>
      <c r="V25" s="62"/>
      <c r="W25" s="50"/>
    </row>
    <row r="26" ht="15.75" customHeight="1">
      <c r="A26" s="35">
        <v>22.0</v>
      </c>
      <c r="B26" s="17" t="s">
        <v>32</v>
      </c>
      <c r="C26" s="18">
        <v>45922.0</v>
      </c>
      <c r="D26" s="19">
        <f t="shared" si="3"/>
        <v>45922</v>
      </c>
      <c r="E26" s="20">
        <v>500.0</v>
      </c>
      <c r="F26" s="21"/>
      <c r="G26" s="22"/>
      <c r="H26" s="39"/>
      <c r="L26" s="40" t="s">
        <v>20</v>
      </c>
      <c r="M26" s="173">
        <v>45955.0</v>
      </c>
      <c r="N26" s="31">
        <v>200.0</v>
      </c>
      <c r="O26" s="43"/>
      <c r="P26" s="44"/>
      <c r="R26" s="53"/>
      <c r="S26" s="65"/>
      <c r="T26" s="66"/>
      <c r="U26" s="58"/>
      <c r="V26" s="62"/>
      <c r="W26" s="50"/>
    </row>
    <row r="27" ht="15.75" customHeight="1">
      <c r="A27" s="35">
        <v>23.0</v>
      </c>
      <c r="B27" s="17" t="s">
        <v>130</v>
      </c>
      <c r="C27" s="18">
        <v>45923.0</v>
      </c>
      <c r="D27" s="19">
        <f t="shared" si="3"/>
        <v>45923</v>
      </c>
      <c r="E27" s="20">
        <v>500.0</v>
      </c>
      <c r="F27" s="21"/>
      <c r="G27" s="22"/>
      <c r="H27" s="39"/>
      <c r="L27" s="40" t="s">
        <v>20</v>
      </c>
      <c r="M27" s="169">
        <v>45958.0</v>
      </c>
      <c r="N27" s="26">
        <v>800.0</v>
      </c>
      <c r="O27" s="43"/>
      <c r="P27" s="44"/>
      <c r="R27" s="53"/>
      <c r="S27" s="65"/>
      <c r="T27" s="66"/>
      <c r="U27" s="58"/>
      <c r="V27" s="62"/>
      <c r="W27" s="50"/>
    </row>
    <row r="28" ht="15.75" customHeight="1">
      <c r="A28" s="35">
        <v>24.0</v>
      </c>
      <c r="B28" s="17" t="s">
        <v>19</v>
      </c>
      <c r="C28" s="18">
        <v>45923.0</v>
      </c>
      <c r="D28" s="19">
        <f t="shared" si="3"/>
        <v>45923</v>
      </c>
      <c r="E28" s="20">
        <v>500.0</v>
      </c>
      <c r="F28" s="21"/>
      <c r="G28" s="22"/>
      <c r="H28" s="39"/>
      <c r="L28" s="40" t="s">
        <v>20</v>
      </c>
      <c r="M28" s="169">
        <v>45959.0</v>
      </c>
      <c r="N28" s="26">
        <v>425.0</v>
      </c>
      <c r="O28" s="43"/>
      <c r="P28" s="44"/>
      <c r="R28" s="53"/>
      <c r="S28" s="65"/>
      <c r="T28" s="66"/>
      <c r="U28" s="58"/>
      <c r="V28" s="62"/>
      <c r="W28" s="50"/>
    </row>
    <row r="29" ht="15.75" customHeight="1">
      <c r="A29" s="35">
        <v>25.0</v>
      </c>
      <c r="B29" s="17" t="s">
        <v>26</v>
      </c>
      <c r="C29" s="18">
        <v>45924.0</v>
      </c>
      <c r="D29" s="19">
        <f t="shared" si="3"/>
        <v>45924</v>
      </c>
      <c r="E29" s="20">
        <v>500.0</v>
      </c>
      <c r="F29" s="21"/>
      <c r="G29" s="22"/>
      <c r="H29" s="39"/>
      <c r="L29" s="40" t="s">
        <v>20</v>
      </c>
      <c r="M29" s="169">
        <v>45960.0</v>
      </c>
      <c r="N29" s="26">
        <v>400.0</v>
      </c>
      <c r="O29" s="43"/>
      <c r="P29" s="44"/>
      <c r="R29" s="53"/>
      <c r="S29" s="65"/>
      <c r="T29" s="66"/>
      <c r="U29" s="58"/>
      <c r="V29" s="62"/>
      <c r="W29" s="50"/>
    </row>
    <row r="30" ht="15.75" customHeight="1">
      <c r="A30" s="35">
        <v>26.0</v>
      </c>
      <c r="B30" s="17" t="s">
        <v>137</v>
      </c>
      <c r="C30" s="18">
        <v>45926.0</v>
      </c>
      <c r="D30" s="19">
        <f t="shared" si="3"/>
        <v>45926</v>
      </c>
      <c r="E30" s="20">
        <v>500.0</v>
      </c>
      <c r="F30" s="21"/>
      <c r="G30" s="22"/>
      <c r="H30" s="39"/>
      <c r="L30" s="40" t="s">
        <v>20</v>
      </c>
      <c r="M30" s="41">
        <v>45972.0</v>
      </c>
      <c r="N30" s="42">
        <v>500.0</v>
      </c>
      <c r="O30" s="43"/>
      <c r="P30" s="44"/>
      <c r="R30" s="53"/>
      <c r="S30" s="65"/>
      <c r="T30" s="66"/>
      <c r="U30" s="58"/>
      <c r="V30" s="62"/>
      <c r="W30" s="50"/>
    </row>
    <row r="31" ht="15.75" customHeight="1">
      <c r="A31" s="35">
        <v>27.0</v>
      </c>
      <c r="B31" s="17" t="s">
        <v>187</v>
      </c>
      <c r="C31" s="18">
        <v>45929.0</v>
      </c>
      <c r="D31" s="19">
        <f t="shared" si="3"/>
        <v>45929</v>
      </c>
      <c r="E31" s="20">
        <v>375.0</v>
      </c>
      <c r="F31" s="21"/>
      <c r="G31" s="22"/>
      <c r="H31" s="39"/>
      <c r="L31" s="40" t="s">
        <v>20</v>
      </c>
      <c r="M31" s="41">
        <v>45978.0</v>
      </c>
      <c r="N31" s="42">
        <v>3400.0</v>
      </c>
      <c r="O31" s="43"/>
      <c r="P31" s="44"/>
      <c r="R31" s="53"/>
      <c r="S31" s="65"/>
      <c r="T31" s="66"/>
      <c r="U31" s="58"/>
      <c r="V31" s="62"/>
      <c r="W31" s="50"/>
    </row>
    <row r="32" ht="15.75" customHeight="1">
      <c r="A32" s="35">
        <v>28.0</v>
      </c>
      <c r="B32" s="17" t="s">
        <v>61</v>
      </c>
      <c r="C32" s="18">
        <v>45929.0</v>
      </c>
      <c r="D32" s="19">
        <f t="shared" si="3"/>
        <v>45929</v>
      </c>
      <c r="E32" s="20">
        <v>375.0</v>
      </c>
      <c r="F32" s="21"/>
      <c r="G32" s="22"/>
      <c r="H32" s="39"/>
      <c r="L32" s="87"/>
      <c r="M32" s="169"/>
      <c r="N32" s="26"/>
      <c r="O32" s="43"/>
      <c r="P32" s="44"/>
      <c r="R32" s="53"/>
      <c r="S32" s="65"/>
      <c r="T32" s="66"/>
      <c r="U32" s="58"/>
      <c r="V32" s="62"/>
      <c r="W32" s="50"/>
    </row>
    <row r="33" ht="15.75" customHeight="1">
      <c r="A33" s="35">
        <v>29.0</v>
      </c>
      <c r="B33" s="17" t="s">
        <v>32</v>
      </c>
      <c r="C33" s="18">
        <v>45932.0</v>
      </c>
      <c r="D33" s="19">
        <f t="shared" si="3"/>
        <v>45932</v>
      </c>
      <c r="E33" s="20">
        <v>500.0</v>
      </c>
      <c r="F33" s="21"/>
      <c r="G33" s="22"/>
      <c r="H33" s="39"/>
      <c r="L33" s="87"/>
      <c r="M33" s="169"/>
      <c r="N33" s="26"/>
      <c r="O33" s="43"/>
      <c r="P33" s="44"/>
      <c r="R33" s="53"/>
      <c r="S33" s="65"/>
      <c r="T33" s="66"/>
      <c r="U33" s="58"/>
      <c r="V33" s="62"/>
      <c r="W33" s="50"/>
    </row>
    <row r="34" ht="15.75" customHeight="1">
      <c r="A34" s="35">
        <v>30.0</v>
      </c>
      <c r="B34" s="17" t="s">
        <v>61</v>
      </c>
      <c r="C34" s="18"/>
      <c r="D34" s="19" t="str">
        <f t="shared" si="3"/>
        <v/>
      </c>
      <c r="E34" s="20">
        <v>350.0</v>
      </c>
      <c r="F34" s="21"/>
      <c r="G34" s="22"/>
      <c r="H34" s="39"/>
      <c r="L34" s="87"/>
      <c r="M34" s="169"/>
      <c r="N34" s="26"/>
      <c r="O34" s="43"/>
      <c r="P34" s="44"/>
      <c r="R34" s="53"/>
      <c r="S34" s="65"/>
      <c r="T34" s="66"/>
      <c r="U34" s="58"/>
      <c r="V34" s="62"/>
      <c r="W34" s="50"/>
    </row>
    <row r="35" ht="15.75" customHeight="1">
      <c r="A35" s="35">
        <v>31.0</v>
      </c>
      <c r="B35" s="17" t="s">
        <v>193</v>
      </c>
      <c r="C35" s="18">
        <v>45939.0</v>
      </c>
      <c r="D35" s="19">
        <f t="shared" si="3"/>
        <v>45939</v>
      </c>
      <c r="E35" s="20">
        <v>100.0</v>
      </c>
      <c r="F35" s="21"/>
      <c r="G35" s="22"/>
      <c r="H35" s="39"/>
      <c r="L35" s="87"/>
      <c r="M35" s="169"/>
      <c r="N35" s="26"/>
      <c r="O35" s="43"/>
      <c r="P35" s="44"/>
      <c r="R35" s="53"/>
      <c r="S35" s="65"/>
      <c r="T35" s="66"/>
      <c r="U35" s="58"/>
      <c r="V35" s="62"/>
      <c r="W35" s="50"/>
    </row>
    <row r="36" ht="15.75" customHeight="1">
      <c r="A36" s="35">
        <v>32.0</v>
      </c>
      <c r="B36" s="17" t="s">
        <v>194</v>
      </c>
      <c r="C36" s="18">
        <v>45939.0</v>
      </c>
      <c r="D36" s="19">
        <f t="shared" si="3"/>
        <v>45939</v>
      </c>
      <c r="E36" s="20">
        <v>500.0</v>
      </c>
      <c r="F36" s="21"/>
      <c r="G36" s="22"/>
      <c r="H36" s="39"/>
      <c r="L36" s="87"/>
      <c r="M36" s="169"/>
      <c r="N36" s="26"/>
      <c r="O36" s="43"/>
      <c r="P36" s="44"/>
      <c r="R36" s="53"/>
      <c r="S36" s="65"/>
      <c r="T36" s="66"/>
      <c r="U36" s="58"/>
      <c r="V36" s="62"/>
      <c r="W36" s="50"/>
    </row>
    <row r="37" ht="15.75" customHeight="1">
      <c r="A37" s="35">
        <v>33.0</v>
      </c>
      <c r="B37" s="17" t="s">
        <v>32</v>
      </c>
      <c r="C37" s="18">
        <v>45943.0</v>
      </c>
      <c r="D37" s="19">
        <f t="shared" si="3"/>
        <v>45943</v>
      </c>
      <c r="E37" s="20">
        <v>479.0</v>
      </c>
      <c r="F37" s="21"/>
      <c r="G37" s="22"/>
      <c r="H37" s="39"/>
      <c r="L37" s="87"/>
      <c r="M37" s="169"/>
      <c r="N37" s="26"/>
      <c r="O37" s="43"/>
      <c r="P37" s="44"/>
      <c r="R37" s="53"/>
      <c r="S37" s="65"/>
      <c r="T37" s="66"/>
      <c r="U37" s="58"/>
      <c r="V37" s="62"/>
      <c r="W37" s="50"/>
    </row>
    <row r="38" ht="15.75" customHeight="1">
      <c r="A38" s="35">
        <v>34.0</v>
      </c>
      <c r="B38" s="17" t="s">
        <v>26</v>
      </c>
      <c r="C38" s="18">
        <v>45945.0</v>
      </c>
      <c r="D38" s="19">
        <f t="shared" si="3"/>
        <v>45945</v>
      </c>
      <c r="E38" s="20">
        <v>500.0</v>
      </c>
      <c r="F38" s="21"/>
      <c r="G38" s="22"/>
      <c r="H38" s="39"/>
      <c r="L38" s="87"/>
      <c r="M38" s="169"/>
      <c r="N38" s="26"/>
      <c r="O38" s="43"/>
      <c r="P38" s="44"/>
      <c r="R38" s="53"/>
      <c r="S38" s="65"/>
      <c r="T38" s="66"/>
      <c r="U38" s="58"/>
      <c r="V38" s="62"/>
      <c r="W38" s="50"/>
    </row>
    <row r="39" ht="15.75" customHeight="1">
      <c r="A39" s="35">
        <v>35.0</v>
      </c>
      <c r="B39" s="17" t="s">
        <v>195</v>
      </c>
      <c r="C39" s="18">
        <v>45947.0</v>
      </c>
      <c r="D39" s="19">
        <f t="shared" si="3"/>
        <v>45947</v>
      </c>
      <c r="E39" s="20">
        <v>50.0</v>
      </c>
      <c r="F39" s="21"/>
      <c r="G39" s="22"/>
      <c r="H39" s="39"/>
      <c r="L39" s="87"/>
      <c r="M39" s="169"/>
      <c r="N39" s="26"/>
      <c r="O39" s="43"/>
      <c r="P39" s="44"/>
      <c r="R39" s="53"/>
      <c r="S39" s="65"/>
      <c r="T39" s="66"/>
      <c r="U39" s="58"/>
      <c r="V39" s="62"/>
      <c r="W39" s="50"/>
    </row>
    <row r="40" ht="15.75" customHeight="1">
      <c r="A40" s="35">
        <v>36.0</v>
      </c>
      <c r="B40" s="17" t="s">
        <v>137</v>
      </c>
      <c r="C40" s="18">
        <v>45947.0</v>
      </c>
      <c r="D40" s="19">
        <f t="shared" si="3"/>
        <v>45947</v>
      </c>
      <c r="E40" s="20">
        <v>500.0</v>
      </c>
      <c r="F40" s="21"/>
      <c r="G40" s="22"/>
      <c r="H40" s="39"/>
      <c r="L40" s="87"/>
      <c r="M40" s="169"/>
      <c r="N40" s="26"/>
      <c r="O40" s="43"/>
      <c r="P40" s="44"/>
      <c r="R40" s="53"/>
      <c r="S40" s="65"/>
      <c r="T40" s="66"/>
      <c r="U40" s="58"/>
      <c r="V40" s="62"/>
      <c r="W40" s="50"/>
    </row>
    <row r="41" ht="15.75" customHeight="1">
      <c r="A41" s="35">
        <v>37.0</v>
      </c>
      <c r="B41" s="17" t="s">
        <v>187</v>
      </c>
      <c r="C41" s="18">
        <v>45950.0</v>
      </c>
      <c r="D41" s="19">
        <f t="shared" si="3"/>
        <v>45950</v>
      </c>
      <c r="E41" s="20">
        <v>500.0</v>
      </c>
      <c r="F41" s="21"/>
      <c r="G41" s="22"/>
      <c r="H41" s="39"/>
      <c r="L41" s="87"/>
      <c r="M41" s="169"/>
      <c r="N41" s="26"/>
      <c r="O41" s="43"/>
      <c r="P41" s="44"/>
      <c r="R41" s="53"/>
      <c r="S41" s="65"/>
      <c r="T41" s="66"/>
      <c r="U41" s="58"/>
      <c r="V41" s="62"/>
      <c r="W41" s="50"/>
    </row>
    <row r="42" ht="15.75" customHeight="1">
      <c r="A42" s="35">
        <v>38.0</v>
      </c>
      <c r="B42" s="17" t="s">
        <v>196</v>
      </c>
      <c r="C42" s="18">
        <v>45950.0</v>
      </c>
      <c r="D42" s="19">
        <f t="shared" si="3"/>
        <v>45950</v>
      </c>
      <c r="E42" s="20">
        <v>500.0</v>
      </c>
      <c r="F42" s="21"/>
      <c r="G42" s="22"/>
      <c r="H42" s="39"/>
      <c r="L42" s="87"/>
      <c r="M42" s="169"/>
      <c r="N42" s="26"/>
      <c r="O42" s="43"/>
      <c r="P42" s="44"/>
      <c r="R42" s="53"/>
      <c r="S42" s="65"/>
      <c r="T42" s="66"/>
      <c r="U42" s="58"/>
      <c r="V42" s="62"/>
      <c r="W42" s="50"/>
    </row>
    <row r="43" ht="15.75" customHeight="1">
      <c r="A43" s="35">
        <v>39.0</v>
      </c>
      <c r="B43" s="17" t="s">
        <v>61</v>
      </c>
      <c r="C43" s="18">
        <v>45950.0</v>
      </c>
      <c r="D43" s="19">
        <f t="shared" si="3"/>
        <v>45950</v>
      </c>
      <c r="E43" s="20">
        <v>330.0</v>
      </c>
      <c r="F43" s="21"/>
      <c r="G43" s="22"/>
      <c r="H43" s="39"/>
      <c r="L43" s="87"/>
      <c r="M43" s="169"/>
      <c r="N43" s="26"/>
      <c r="O43" s="43"/>
      <c r="P43" s="44"/>
      <c r="R43" s="53"/>
      <c r="S43" s="65"/>
      <c r="T43" s="66"/>
      <c r="U43" s="58"/>
      <c r="V43" s="62"/>
      <c r="W43" s="50"/>
    </row>
    <row r="44" ht="15.75" customHeight="1">
      <c r="A44" s="35">
        <v>40.0</v>
      </c>
      <c r="B44" s="17" t="s">
        <v>130</v>
      </c>
      <c r="C44" s="18">
        <v>45951.0</v>
      </c>
      <c r="D44" s="19">
        <f t="shared" si="3"/>
        <v>45951</v>
      </c>
      <c r="E44" s="20">
        <v>500.0</v>
      </c>
      <c r="F44" s="21"/>
      <c r="G44" s="22"/>
      <c r="H44" s="39"/>
      <c r="L44" s="87"/>
      <c r="M44" s="169"/>
      <c r="N44" s="26"/>
      <c r="O44" s="43"/>
      <c r="P44" s="44"/>
      <c r="R44" s="53"/>
      <c r="S44" s="65"/>
      <c r="T44" s="66"/>
      <c r="U44" s="58"/>
      <c r="V44" s="62"/>
      <c r="W44" s="50"/>
    </row>
    <row r="45" ht="15.75" customHeight="1">
      <c r="A45" s="35">
        <v>41.0</v>
      </c>
      <c r="B45" s="17" t="s">
        <v>26</v>
      </c>
      <c r="C45" s="18">
        <v>45952.0</v>
      </c>
      <c r="D45" s="19">
        <f t="shared" si="3"/>
        <v>45952</v>
      </c>
      <c r="E45" s="20">
        <v>500.0</v>
      </c>
      <c r="F45" s="21"/>
      <c r="G45" s="22"/>
      <c r="H45" s="39"/>
      <c r="L45" s="87"/>
      <c r="M45" s="169"/>
      <c r="N45" s="26"/>
      <c r="O45" s="43"/>
      <c r="P45" s="44"/>
      <c r="R45" s="53"/>
      <c r="S45" s="65"/>
      <c r="T45" s="66"/>
      <c r="U45" s="58"/>
      <c r="V45" s="62"/>
      <c r="W45" s="50"/>
    </row>
    <row r="46" ht="15.75" customHeight="1">
      <c r="A46" s="35">
        <v>42.0</v>
      </c>
      <c r="B46" s="17" t="s">
        <v>197</v>
      </c>
      <c r="C46" s="18">
        <v>45959.0</v>
      </c>
      <c r="D46" s="19">
        <f t="shared" si="3"/>
        <v>45959</v>
      </c>
      <c r="E46" s="20">
        <v>50.0</v>
      </c>
      <c r="F46" s="21"/>
      <c r="G46" s="22"/>
      <c r="H46" s="39"/>
      <c r="L46" s="87"/>
      <c r="M46" s="169"/>
      <c r="N46" s="26"/>
      <c r="O46" s="43"/>
      <c r="P46" s="44"/>
      <c r="R46" s="53"/>
      <c r="S46" s="65"/>
      <c r="T46" s="66"/>
      <c r="U46" s="58"/>
      <c r="V46" s="62"/>
      <c r="W46" s="50"/>
    </row>
    <row r="47" ht="15.75" customHeight="1">
      <c r="A47" s="35">
        <v>43.0</v>
      </c>
      <c r="B47" s="17" t="s">
        <v>26</v>
      </c>
      <c r="C47" s="18">
        <v>45959.0</v>
      </c>
      <c r="D47" s="19">
        <f t="shared" si="3"/>
        <v>45959</v>
      </c>
      <c r="E47" s="20">
        <v>500.0</v>
      </c>
      <c r="F47" s="21"/>
      <c r="G47" s="22"/>
      <c r="H47" s="39"/>
      <c r="L47" s="87"/>
      <c r="M47" s="169"/>
      <c r="N47" s="26"/>
      <c r="O47" s="43"/>
      <c r="P47" s="44"/>
      <c r="R47" s="53"/>
      <c r="S47" s="65"/>
      <c r="T47" s="66"/>
      <c r="U47" s="58"/>
      <c r="V47" s="62"/>
      <c r="W47" s="50"/>
    </row>
    <row r="48" ht="15.75" customHeight="1">
      <c r="A48" s="35">
        <v>44.0</v>
      </c>
      <c r="B48" s="17" t="s">
        <v>32</v>
      </c>
      <c r="C48" s="18">
        <v>45960.0</v>
      </c>
      <c r="D48" s="19">
        <f t="shared" si="3"/>
        <v>45960</v>
      </c>
      <c r="E48" s="20">
        <v>175.0</v>
      </c>
      <c r="F48" s="21"/>
      <c r="G48" s="22"/>
      <c r="H48" s="39"/>
      <c r="L48" s="87"/>
      <c r="M48" s="169"/>
      <c r="N48" s="26"/>
      <c r="O48" s="43"/>
      <c r="P48" s="44"/>
      <c r="R48" s="53"/>
      <c r="S48" s="65"/>
      <c r="T48" s="66"/>
      <c r="U48" s="58"/>
      <c r="V48" s="62"/>
      <c r="W48" s="50"/>
    </row>
    <row r="49" ht="15.75" customHeight="1">
      <c r="A49" s="35">
        <v>45.0</v>
      </c>
      <c r="B49" s="17" t="s">
        <v>196</v>
      </c>
      <c r="C49" s="18">
        <v>45959.0</v>
      </c>
      <c r="D49" s="19">
        <f t="shared" si="3"/>
        <v>45959</v>
      </c>
      <c r="E49" s="20">
        <v>500.0</v>
      </c>
      <c r="F49" s="21"/>
      <c r="G49" s="22"/>
      <c r="H49" s="39"/>
      <c r="L49" s="87"/>
      <c r="M49" s="169"/>
      <c r="N49" s="26"/>
      <c r="O49" s="43"/>
      <c r="P49" s="44"/>
      <c r="R49" s="53"/>
      <c r="S49" s="65"/>
      <c r="T49" s="66"/>
      <c r="U49" s="58"/>
      <c r="V49" s="62"/>
      <c r="W49" s="50"/>
    </row>
    <row r="50" ht="15.75" customHeight="1">
      <c r="A50" s="35">
        <v>46.0</v>
      </c>
      <c r="B50" s="17" t="s">
        <v>198</v>
      </c>
      <c r="C50" s="18">
        <v>45961.0</v>
      </c>
      <c r="D50" s="19">
        <f t="shared" si="3"/>
        <v>45961</v>
      </c>
      <c r="E50" s="20">
        <v>500.0</v>
      </c>
      <c r="F50" s="21"/>
      <c r="G50" s="22"/>
      <c r="H50" s="39"/>
      <c r="L50" s="87"/>
      <c r="M50" s="169"/>
      <c r="N50" s="26"/>
      <c r="O50" s="43"/>
      <c r="P50" s="44"/>
      <c r="R50" s="53"/>
      <c r="S50" s="65"/>
      <c r="T50" s="66"/>
      <c r="U50" s="58"/>
      <c r="V50" s="62"/>
      <c r="W50" s="50"/>
    </row>
    <row r="51" ht="15.75" customHeight="1">
      <c r="A51" s="35">
        <v>47.0</v>
      </c>
      <c r="B51" s="17" t="s">
        <v>187</v>
      </c>
      <c r="C51" s="18">
        <v>45964.0</v>
      </c>
      <c r="D51" s="19">
        <f t="shared" si="3"/>
        <v>45964</v>
      </c>
      <c r="E51" s="20">
        <v>310.0</v>
      </c>
      <c r="F51" s="21"/>
      <c r="G51" s="22"/>
      <c r="H51" s="39"/>
      <c r="L51" s="87"/>
      <c r="M51" s="169"/>
      <c r="N51" s="26"/>
      <c r="O51" s="43"/>
      <c r="P51" s="44"/>
      <c r="R51" s="53"/>
      <c r="S51" s="65"/>
      <c r="T51" s="66"/>
      <c r="U51" s="58"/>
      <c r="V51" s="62"/>
      <c r="W51" s="50"/>
    </row>
    <row r="52" ht="15.75" customHeight="1">
      <c r="A52" s="35">
        <v>48.0</v>
      </c>
      <c r="B52" s="17" t="s">
        <v>32</v>
      </c>
      <c r="C52" s="18">
        <v>45964.0</v>
      </c>
      <c r="D52" s="19">
        <f t="shared" si="3"/>
        <v>45964</v>
      </c>
      <c r="E52" s="20">
        <v>450.0</v>
      </c>
      <c r="F52" s="21"/>
      <c r="G52" s="22"/>
      <c r="H52" s="39"/>
      <c r="L52" s="87"/>
      <c r="M52" s="169"/>
      <c r="N52" s="26"/>
      <c r="O52" s="43"/>
      <c r="P52" s="44"/>
      <c r="R52" s="53"/>
      <c r="S52" s="65"/>
      <c r="T52" s="66"/>
      <c r="U52" s="58"/>
      <c r="V52" s="62"/>
      <c r="W52" s="50"/>
    </row>
    <row r="53" ht="15.75" customHeight="1">
      <c r="A53" s="35">
        <v>49.0</v>
      </c>
      <c r="B53" s="17" t="s">
        <v>199</v>
      </c>
      <c r="C53" s="18">
        <v>45965.0</v>
      </c>
      <c r="D53" s="19">
        <f t="shared" si="3"/>
        <v>45965</v>
      </c>
      <c r="E53" s="20">
        <v>400.0</v>
      </c>
      <c r="F53" s="21"/>
      <c r="G53" s="22"/>
      <c r="H53" s="39"/>
      <c r="L53" s="87"/>
      <c r="M53" s="169"/>
      <c r="N53" s="26"/>
      <c r="O53" s="43"/>
      <c r="P53" s="44"/>
      <c r="R53" s="53"/>
      <c r="S53" s="65"/>
      <c r="T53" s="66"/>
      <c r="U53" s="58"/>
      <c r="V53" s="62"/>
      <c r="W53" s="50"/>
    </row>
    <row r="54" ht="15.75" customHeight="1">
      <c r="A54" s="35">
        <v>50.0</v>
      </c>
      <c r="B54" s="36" t="s">
        <v>26</v>
      </c>
      <c r="C54" s="37">
        <v>45966.0</v>
      </c>
      <c r="D54" s="174">
        <v>45966.0</v>
      </c>
      <c r="E54" s="38">
        <v>500.0</v>
      </c>
      <c r="F54" s="21"/>
      <c r="G54" s="22"/>
      <c r="H54" s="39"/>
      <c r="L54" s="87"/>
      <c r="M54" s="169"/>
      <c r="N54" s="26"/>
      <c r="O54" s="43"/>
      <c r="P54" s="44"/>
      <c r="R54" s="53"/>
      <c r="S54" s="65"/>
      <c r="T54" s="66"/>
      <c r="U54" s="58"/>
      <c r="V54" s="62"/>
      <c r="W54" s="50"/>
    </row>
    <row r="55" ht="15.75" customHeight="1">
      <c r="A55" s="35">
        <v>51.0</v>
      </c>
      <c r="B55" s="36" t="s">
        <v>44</v>
      </c>
      <c r="C55" s="37">
        <v>45971.0</v>
      </c>
      <c r="D55" s="19">
        <f t="shared" ref="D55:D77" si="4">IF(C55="","",C55)</f>
        <v>45971</v>
      </c>
      <c r="E55" s="38">
        <v>300.0</v>
      </c>
      <c r="F55" s="21"/>
      <c r="G55" s="22"/>
      <c r="H55" s="39"/>
      <c r="L55" s="87"/>
      <c r="M55" s="169"/>
      <c r="N55" s="26"/>
      <c r="O55" s="43"/>
      <c r="P55" s="44"/>
      <c r="R55" s="53"/>
      <c r="S55" s="65"/>
      <c r="T55" s="66"/>
      <c r="U55" s="58"/>
      <c r="V55" s="62"/>
      <c r="W55" s="50"/>
    </row>
    <row r="56" ht="15.75" customHeight="1">
      <c r="A56" s="35">
        <v>52.0</v>
      </c>
      <c r="B56" s="36" t="s">
        <v>61</v>
      </c>
      <c r="C56" s="37">
        <v>45971.0</v>
      </c>
      <c r="D56" s="19">
        <f t="shared" si="4"/>
        <v>45971</v>
      </c>
      <c r="E56" s="38">
        <v>370.0</v>
      </c>
      <c r="F56" s="21"/>
      <c r="G56" s="22"/>
      <c r="H56" s="39"/>
      <c r="L56" s="87"/>
      <c r="M56" s="169"/>
      <c r="N56" s="26"/>
      <c r="O56" s="43"/>
      <c r="P56" s="44"/>
      <c r="R56" s="53"/>
      <c r="S56" s="65"/>
      <c r="T56" s="66"/>
      <c r="U56" s="58"/>
      <c r="V56" s="62"/>
      <c r="W56" s="50"/>
    </row>
    <row r="57" ht="15.75" customHeight="1">
      <c r="A57" s="35">
        <v>53.0</v>
      </c>
      <c r="B57" s="36" t="s">
        <v>200</v>
      </c>
      <c r="C57" s="37">
        <v>45977.0</v>
      </c>
      <c r="D57" s="19">
        <f t="shared" si="4"/>
        <v>45977</v>
      </c>
      <c r="E57" s="38">
        <v>330.0</v>
      </c>
      <c r="F57" s="21"/>
      <c r="G57" s="22"/>
      <c r="H57" s="39"/>
      <c r="L57" s="87"/>
      <c r="M57" s="169"/>
      <c r="N57" s="26"/>
      <c r="O57" s="43"/>
      <c r="P57" s="44"/>
      <c r="R57" s="53"/>
      <c r="S57" s="65"/>
      <c r="T57" s="66"/>
      <c r="U57" s="58"/>
      <c r="V57" s="62"/>
      <c r="W57" s="50"/>
    </row>
    <row r="58" ht="15.75" customHeight="1">
      <c r="A58" s="35">
        <v>54.0</v>
      </c>
      <c r="B58" s="36" t="s">
        <v>32</v>
      </c>
      <c r="C58" s="37">
        <v>45975.0</v>
      </c>
      <c r="D58" s="19">
        <f t="shared" si="4"/>
        <v>45975</v>
      </c>
      <c r="E58" s="38">
        <v>440.0</v>
      </c>
      <c r="F58" s="21"/>
      <c r="G58" s="22"/>
      <c r="H58" s="39"/>
      <c r="L58" s="87"/>
      <c r="M58" s="169"/>
      <c r="N58" s="26"/>
      <c r="O58" s="43"/>
      <c r="P58" s="44"/>
      <c r="R58" s="53"/>
      <c r="S58" s="65"/>
      <c r="T58" s="66"/>
      <c r="U58" s="58"/>
      <c r="V58" s="62"/>
      <c r="W58" s="50"/>
    </row>
    <row r="59" ht="15.75" customHeight="1">
      <c r="A59" s="35">
        <v>55.0</v>
      </c>
      <c r="B59" s="36" t="s">
        <v>44</v>
      </c>
      <c r="C59" s="37">
        <v>45978.0</v>
      </c>
      <c r="D59" s="19">
        <f t="shared" si="4"/>
        <v>45978</v>
      </c>
      <c r="E59" s="38">
        <v>400.0</v>
      </c>
      <c r="F59" s="21"/>
      <c r="G59" s="22"/>
      <c r="H59" s="39"/>
      <c r="L59" s="87"/>
      <c r="M59" s="169"/>
      <c r="N59" s="26"/>
      <c r="O59" s="43"/>
      <c r="P59" s="44"/>
      <c r="R59" s="53"/>
      <c r="S59" s="65"/>
      <c r="T59" s="66"/>
      <c r="U59" s="58"/>
      <c r="V59" s="62"/>
      <c r="W59" s="50"/>
    </row>
    <row r="60" ht="15.75" customHeight="1">
      <c r="A60" s="35">
        <v>56.0</v>
      </c>
      <c r="B60" s="36" t="s">
        <v>32</v>
      </c>
      <c r="C60" s="37">
        <v>45978.0</v>
      </c>
      <c r="D60" s="19">
        <f t="shared" si="4"/>
        <v>45978</v>
      </c>
      <c r="E60" s="38">
        <v>500.0</v>
      </c>
      <c r="F60" s="21"/>
      <c r="G60" s="22"/>
      <c r="H60" s="39"/>
      <c r="L60" s="87"/>
      <c r="M60" s="169"/>
      <c r="N60" s="26"/>
      <c r="O60" s="43"/>
      <c r="P60" s="44"/>
      <c r="R60" s="53"/>
      <c r="S60" s="65"/>
      <c r="T60" s="66"/>
      <c r="U60" s="58"/>
      <c r="V60" s="62"/>
      <c r="W60" s="50"/>
    </row>
    <row r="61" ht="15.75" customHeight="1">
      <c r="A61" s="35">
        <v>57.0</v>
      </c>
      <c r="B61" s="36" t="s">
        <v>201</v>
      </c>
      <c r="C61" s="37">
        <v>45979.0</v>
      </c>
      <c r="D61" s="19">
        <f t="shared" si="4"/>
        <v>45979</v>
      </c>
      <c r="E61" s="38">
        <v>948.0</v>
      </c>
      <c r="F61" s="21"/>
      <c r="G61" s="22"/>
      <c r="H61" s="39"/>
      <c r="L61" s="87"/>
      <c r="M61" s="169"/>
      <c r="N61" s="26"/>
      <c r="O61" s="43"/>
      <c r="P61" s="44"/>
      <c r="R61" s="53"/>
      <c r="S61" s="65"/>
      <c r="T61" s="66"/>
      <c r="U61" s="58"/>
      <c r="V61" s="62"/>
      <c r="W61" s="50"/>
    </row>
    <row r="62" ht="15.75" customHeight="1">
      <c r="A62" s="35">
        <v>58.0</v>
      </c>
      <c r="B62" s="17"/>
      <c r="C62" s="18"/>
      <c r="D62" s="19" t="str">
        <f t="shared" si="4"/>
        <v/>
      </c>
      <c r="E62" s="20"/>
      <c r="F62" s="21"/>
      <c r="G62" s="22"/>
      <c r="H62" s="39"/>
      <c r="L62" s="87"/>
      <c r="M62" s="169"/>
      <c r="N62" s="26"/>
      <c r="O62" s="43"/>
      <c r="P62" s="44"/>
      <c r="R62" s="53"/>
      <c r="S62" s="65"/>
      <c r="T62" s="66"/>
      <c r="U62" s="58"/>
      <c r="V62" s="62"/>
      <c r="W62" s="50"/>
    </row>
    <row r="63" ht="15.75" customHeight="1">
      <c r="A63" s="35">
        <v>59.0</v>
      </c>
      <c r="B63" s="17"/>
      <c r="C63" s="18"/>
      <c r="D63" s="19" t="str">
        <f t="shared" si="4"/>
        <v/>
      </c>
      <c r="E63" s="20"/>
      <c r="F63" s="21"/>
      <c r="G63" s="22"/>
      <c r="H63" s="39"/>
      <c r="L63" s="87"/>
      <c r="M63" s="169"/>
      <c r="N63" s="26"/>
      <c r="O63" s="43"/>
      <c r="P63" s="44"/>
      <c r="R63" s="53"/>
      <c r="S63" s="65"/>
      <c r="T63" s="66"/>
      <c r="U63" s="58"/>
      <c r="V63" s="62"/>
      <c r="W63" s="50"/>
    </row>
    <row r="64" ht="15.75" customHeight="1">
      <c r="A64" s="35">
        <v>60.0</v>
      </c>
      <c r="B64" s="17"/>
      <c r="C64" s="18"/>
      <c r="D64" s="19" t="str">
        <f t="shared" si="4"/>
        <v/>
      </c>
      <c r="E64" s="20"/>
      <c r="F64" s="21"/>
      <c r="G64" s="22"/>
      <c r="H64" s="39"/>
      <c r="L64" s="87"/>
      <c r="M64" s="169"/>
      <c r="N64" s="26"/>
      <c r="O64" s="43"/>
      <c r="P64" s="44"/>
      <c r="R64" s="53"/>
      <c r="S64" s="65"/>
      <c r="T64" s="66"/>
      <c r="U64" s="58"/>
      <c r="V64" s="62"/>
      <c r="W64" s="50"/>
    </row>
    <row r="65" ht="15.75" customHeight="1">
      <c r="A65" s="35">
        <v>61.0</v>
      </c>
      <c r="B65" s="17"/>
      <c r="C65" s="18"/>
      <c r="D65" s="19" t="str">
        <f t="shared" si="4"/>
        <v/>
      </c>
      <c r="E65" s="20"/>
      <c r="F65" s="21"/>
      <c r="G65" s="22"/>
      <c r="H65" s="39"/>
      <c r="L65" s="87"/>
      <c r="M65" s="169"/>
      <c r="N65" s="26"/>
      <c r="O65" s="43"/>
      <c r="P65" s="44"/>
      <c r="R65" s="53"/>
      <c r="S65" s="65"/>
      <c r="T65" s="66"/>
      <c r="U65" s="58"/>
      <c r="V65" s="62"/>
      <c r="W65" s="50"/>
    </row>
    <row r="66" ht="15.75" customHeight="1">
      <c r="A66" s="35">
        <v>62.0</v>
      </c>
      <c r="B66" s="17"/>
      <c r="C66" s="18"/>
      <c r="D66" s="19" t="str">
        <f t="shared" si="4"/>
        <v/>
      </c>
      <c r="E66" s="20"/>
      <c r="F66" s="21"/>
      <c r="G66" s="22"/>
      <c r="H66" s="39"/>
      <c r="L66" s="87"/>
      <c r="M66" s="169"/>
      <c r="N66" s="26"/>
      <c r="O66" s="43"/>
      <c r="P66" s="44"/>
      <c r="R66" s="53"/>
      <c r="S66" s="65"/>
      <c r="T66" s="66"/>
      <c r="U66" s="58"/>
      <c r="V66" s="62"/>
      <c r="W66" s="50"/>
    </row>
    <row r="67" ht="15.75" customHeight="1">
      <c r="A67" s="35">
        <v>63.0</v>
      </c>
      <c r="B67" s="17"/>
      <c r="C67" s="18"/>
      <c r="D67" s="19" t="str">
        <f t="shared" si="4"/>
        <v/>
      </c>
      <c r="E67" s="20"/>
      <c r="F67" s="21"/>
      <c r="G67" s="22"/>
      <c r="H67" s="39"/>
      <c r="L67" s="87"/>
      <c r="M67" s="169"/>
      <c r="N67" s="26"/>
      <c r="O67" s="43"/>
      <c r="P67" s="44"/>
      <c r="R67" s="53"/>
      <c r="S67" s="65"/>
      <c r="T67" s="66"/>
      <c r="U67" s="58"/>
      <c r="V67" s="62"/>
      <c r="W67" s="50"/>
    </row>
    <row r="68" ht="15.75" customHeight="1">
      <c r="A68" s="35">
        <v>64.0</v>
      </c>
      <c r="B68" s="17"/>
      <c r="C68" s="18"/>
      <c r="D68" s="19" t="str">
        <f t="shared" si="4"/>
        <v/>
      </c>
      <c r="E68" s="20"/>
      <c r="F68" s="21"/>
      <c r="G68" s="22"/>
      <c r="H68" s="39"/>
      <c r="L68" s="87"/>
      <c r="M68" s="169"/>
      <c r="N68" s="26"/>
      <c r="O68" s="43"/>
      <c r="P68" s="44"/>
      <c r="R68" s="53"/>
      <c r="S68" s="65"/>
      <c r="T68" s="66"/>
      <c r="U68" s="58"/>
      <c r="V68" s="62"/>
      <c r="W68" s="50"/>
    </row>
    <row r="69" ht="15.75" customHeight="1">
      <c r="A69" s="35">
        <v>65.0</v>
      </c>
      <c r="B69" s="17"/>
      <c r="C69" s="18"/>
      <c r="D69" s="19" t="str">
        <f t="shared" si="4"/>
        <v/>
      </c>
      <c r="E69" s="20"/>
      <c r="F69" s="21"/>
      <c r="G69" s="22"/>
      <c r="H69" s="39"/>
      <c r="L69" s="87"/>
      <c r="M69" s="169"/>
      <c r="N69" s="26"/>
      <c r="O69" s="43"/>
      <c r="P69" s="44"/>
      <c r="R69" s="53"/>
      <c r="S69" s="65"/>
      <c r="T69" s="66"/>
      <c r="U69" s="58"/>
      <c r="V69" s="62"/>
      <c r="W69" s="50"/>
    </row>
    <row r="70" ht="15.75" customHeight="1">
      <c r="A70" s="35">
        <v>66.0</v>
      </c>
      <c r="B70" s="17"/>
      <c r="C70" s="18"/>
      <c r="D70" s="19" t="str">
        <f t="shared" si="4"/>
        <v/>
      </c>
      <c r="E70" s="20"/>
      <c r="F70" s="21"/>
      <c r="G70" s="22"/>
      <c r="H70" s="39"/>
      <c r="L70" s="87"/>
      <c r="M70" s="169"/>
      <c r="N70" s="26"/>
      <c r="O70" s="43"/>
      <c r="P70" s="44"/>
      <c r="R70" s="53"/>
      <c r="S70" s="65"/>
      <c r="T70" s="66"/>
      <c r="U70" s="58"/>
      <c r="V70" s="62"/>
      <c r="W70" s="50"/>
    </row>
    <row r="71" ht="15.75" customHeight="1">
      <c r="A71" s="35">
        <v>67.0</v>
      </c>
      <c r="B71" s="17"/>
      <c r="C71" s="18"/>
      <c r="D71" s="19" t="str">
        <f t="shared" si="4"/>
        <v/>
      </c>
      <c r="E71" s="20"/>
      <c r="F71" s="21"/>
      <c r="G71" s="22"/>
      <c r="H71" s="39"/>
      <c r="L71" s="87"/>
      <c r="M71" s="169"/>
      <c r="N71" s="26"/>
      <c r="O71" s="43"/>
      <c r="P71" s="44"/>
      <c r="R71" s="53"/>
      <c r="S71" s="65"/>
      <c r="T71" s="66"/>
      <c r="U71" s="58"/>
      <c r="V71" s="62"/>
      <c r="W71" s="50"/>
    </row>
    <row r="72" ht="15.75" customHeight="1">
      <c r="A72" s="35">
        <v>68.0</v>
      </c>
      <c r="B72" s="17"/>
      <c r="C72" s="18"/>
      <c r="D72" s="19" t="str">
        <f t="shared" si="4"/>
        <v/>
      </c>
      <c r="E72" s="20"/>
      <c r="F72" s="21"/>
      <c r="G72" s="22"/>
      <c r="H72" s="39"/>
      <c r="L72" s="87"/>
      <c r="M72" s="169"/>
      <c r="N72" s="26"/>
      <c r="O72" s="43"/>
      <c r="P72" s="44"/>
      <c r="R72" s="53"/>
      <c r="S72" s="65"/>
      <c r="T72" s="66"/>
      <c r="U72" s="58"/>
      <c r="V72" s="62"/>
      <c r="W72" s="50"/>
    </row>
    <row r="73" ht="15.75" customHeight="1">
      <c r="A73" s="35">
        <v>69.0</v>
      </c>
      <c r="B73" s="17"/>
      <c r="C73" s="18"/>
      <c r="D73" s="19" t="str">
        <f t="shared" si="4"/>
        <v/>
      </c>
      <c r="E73" s="20"/>
      <c r="F73" s="21"/>
      <c r="G73" s="22"/>
      <c r="H73" s="39"/>
      <c r="L73" s="87"/>
      <c r="M73" s="169"/>
      <c r="N73" s="26"/>
      <c r="O73" s="43"/>
      <c r="P73" s="44"/>
      <c r="R73" s="53"/>
      <c r="S73" s="65"/>
      <c r="T73" s="66"/>
      <c r="U73" s="58"/>
      <c r="V73" s="62"/>
      <c r="W73" s="50"/>
    </row>
    <row r="74" ht="15.75" customHeight="1">
      <c r="A74" s="35">
        <v>70.0</v>
      </c>
      <c r="B74" s="17"/>
      <c r="C74" s="18"/>
      <c r="D74" s="19" t="str">
        <f t="shared" si="4"/>
        <v/>
      </c>
      <c r="E74" s="20"/>
      <c r="F74" s="21"/>
      <c r="G74" s="22"/>
      <c r="H74" s="39"/>
      <c r="L74" s="87"/>
      <c r="M74" s="169"/>
      <c r="N74" s="26"/>
      <c r="O74" s="43"/>
      <c r="P74" s="44"/>
      <c r="R74" s="53"/>
      <c r="S74" s="65"/>
      <c r="T74" s="66"/>
      <c r="U74" s="58"/>
      <c r="V74" s="62"/>
      <c r="W74" s="50"/>
    </row>
    <row r="75" ht="15.75" customHeight="1">
      <c r="A75" s="35">
        <v>71.0</v>
      </c>
      <c r="B75" s="17"/>
      <c r="C75" s="18"/>
      <c r="D75" s="19" t="str">
        <f t="shared" si="4"/>
        <v/>
      </c>
      <c r="E75" s="20"/>
      <c r="F75" s="21"/>
      <c r="G75" s="22"/>
      <c r="H75" s="39"/>
      <c r="L75" s="87"/>
      <c r="M75" s="169"/>
      <c r="N75" s="26"/>
      <c r="O75" s="43"/>
      <c r="P75" s="44"/>
      <c r="R75" s="53"/>
      <c r="S75" s="65"/>
      <c r="T75" s="66"/>
      <c r="U75" s="58"/>
      <c r="V75" s="62"/>
      <c r="W75" s="50"/>
    </row>
    <row r="76" ht="15.75" customHeight="1">
      <c r="A76" s="35">
        <v>72.0</v>
      </c>
      <c r="B76" s="17"/>
      <c r="C76" s="18"/>
      <c r="D76" s="19" t="str">
        <f t="shared" si="4"/>
        <v/>
      </c>
      <c r="E76" s="20"/>
      <c r="F76" s="21"/>
      <c r="G76" s="22"/>
      <c r="H76" s="39"/>
      <c r="L76" s="87"/>
      <c r="M76" s="169"/>
      <c r="N76" s="26"/>
      <c r="O76" s="43"/>
      <c r="P76" s="44"/>
      <c r="R76" s="53"/>
      <c r="S76" s="65"/>
      <c r="T76" s="66"/>
      <c r="U76" s="58"/>
      <c r="V76" s="62"/>
      <c r="W76" s="50"/>
    </row>
    <row r="77" ht="15.75" customHeight="1">
      <c r="A77" s="35">
        <v>73.0</v>
      </c>
      <c r="B77" s="17"/>
      <c r="C77" s="18"/>
      <c r="D77" s="19" t="str">
        <f t="shared" si="4"/>
        <v/>
      </c>
      <c r="E77" s="20"/>
      <c r="F77" s="21"/>
      <c r="G77" s="22"/>
      <c r="H77" s="39"/>
      <c r="L77" s="88" t="s">
        <v>46</v>
      </c>
      <c r="M77" s="89"/>
      <c r="N77" s="90">
        <f>SUM(N5:N76)</f>
        <v>18703</v>
      </c>
      <c r="O77" s="43"/>
      <c r="P77" s="44"/>
      <c r="R77" s="91" t="s">
        <v>139</v>
      </c>
      <c r="S77" s="92"/>
      <c r="T77" s="93">
        <f>SUM(T5:T76)-SUM(V5:V76)</f>
        <v>0</v>
      </c>
      <c r="U77" s="94"/>
      <c r="V77" s="62"/>
      <c r="W77" s="95">
        <f>SUM(W5:W76)</f>
        <v>0</v>
      </c>
    </row>
    <row r="78" ht="15.75" customHeight="1">
      <c r="B78" s="96" t="s">
        <v>46</v>
      </c>
      <c r="C78" s="9"/>
      <c r="D78" s="10"/>
      <c r="E78" s="97">
        <f>SUM(E5:E77)+SUM(G5:G77)</f>
        <v>25282</v>
      </c>
      <c r="F78" s="98"/>
      <c r="G78" s="98">
        <f>SUM(G5:G77)</f>
        <v>0</v>
      </c>
      <c r="H78" s="99"/>
      <c r="L78" s="100"/>
      <c r="M78" s="101"/>
      <c r="N78" s="84"/>
      <c r="O78" s="43"/>
      <c r="P78" s="44"/>
      <c r="R78" s="100"/>
      <c r="S78" s="101"/>
      <c r="T78" s="84"/>
      <c r="U78" s="43"/>
      <c r="V78" s="62"/>
      <c r="W78" s="84"/>
    </row>
    <row r="79" ht="15.75" customHeight="1">
      <c r="B79" s="96" t="s">
        <v>140</v>
      </c>
      <c r="C79" s="9"/>
      <c r="D79" s="10"/>
      <c r="E79" s="97">
        <f>E78-N79</f>
        <v>6579</v>
      </c>
      <c r="F79" s="98"/>
      <c r="G79" s="98"/>
      <c r="H79" s="99"/>
      <c r="L79" s="96" t="s">
        <v>141</v>
      </c>
      <c r="M79" s="10"/>
      <c r="N79" s="102">
        <f>SUM(N5:N76)</f>
        <v>18703</v>
      </c>
      <c r="O79" s="103"/>
      <c r="V79" s="5"/>
    </row>
    <row r="80" ht="15.75" customHeight="1">
      <c r="B80" s="104" t="s">
        <v>142</v>
      </c>
      <c r="C80" s="9"/>
      <c r="D80" s="10"/>
      <c r="E80" s="105"/>
      <c r="F80" s="106"/>
      <c r="G80" s="107"/>
      <c r="H80" s="108"/>
      <c r="L80" s="109" t="s">
        <v>143</v>
      </c>
      <c r="M80" s="10"/>
      <c r="N80" s="110">
        <f>6000-SUM(N26:N29,N30,N31)</f>
        <v>275</v>
      </c>
      <c r="O80" s="175" t="str">
        <f>SUM(#REF!,#REF!,#REF!,#REF!,#REF!,#REF!,#REF!,#REF!,#REF!,#REF!)</f>
        <v>#REF!</v>
      </c>
      <c r="V80" s="5"/>
    </row>
    <row r="81" ht="15.75" customHeight="1">
      <c r="B81" s="104" t="s">
        <v>145</v>
      </c>
      <c r="C81" s="9"/>
      <c r="D81" s="10"/>
      <c r="E81" s="107"/>
      <c r="F81" s="70"/>
      <c r="G81" s="107"/>
      <c r="H81" s="108"/>
      <c r="L81" s="111"/>
      <c r="N81" s="5"/>
      <c r="O81" s="112"/>
      <c r="S81" s="4"/>
      <c r="T81" s="5"/>
      <c r="V81" s="5"/>
    </row>
    <row r="82" ht="15.75" customHeight="1">
      <c r="B82" s="113" t="s">
        <v>146</v>
      </c>
      <c r="C82" s="9"/>
      <c r="D82" s="10"/>
      <c r="E82" s="114"/>
      <c r="F82" s="107"/>
      <c r="G82" s="107"/>
      <c r="H82" s="108"/>
      <c r="M82" s="4"/>
      <c r="N82" s="5"/>
      <c r="S82" s="4"/>
      <c r="T82" s="5"/>
      <c r="V82" s="5"/>
    </row>
    <row r="83" ht="15.75" customHeight="1">
      <c r="D83" s="3"/>
      <c r="M83" s="4"/>
      <c r="N83" s="5"/>
      <c r="S83" s="4"/>
      <c r="T83" s="5"/>
      <c r="V83" s="5"/>
    </row>
    <row r="84" ht="15.75" customHeight="1">
      <c r="D84" s="3"/>
      <c r="F84" s="5"/>
      <c r="M84" s="4"/>
      <c r="N84" s="5"/>
      <c r="S84" s="4"/>
      <c r="T84" s="5"/>
      <c r="V84" s="5"/>
    </row>
    <row r="85" ht="15.75" customHeight="1">
      <c r="D85" s="3"/>
      <c r="M85" s="4"/>
      <c r="N85" s="5"/>
      <c r="S85" s="4"/>
      <c r="T85" s="5"/>
      <c r="V85" s="5"/>
    </row>
    <row r="86" ht="15.75" customHeight="1">
      <c r="D86" s="3"/>
      <c r="E86" s="5"/>
      <c r="M86" s="4"/>
      <c r="N86" s="5"/>
      <c r="S86" s="4"/>
      <c r="T86" s="5"/>
      <c r="V86" s="5"/>
    </row>
    <row r="87" ht="15.75" customHeight="1">
      <c r="D87" s="3"/>
      <c r="M87" s="4"/>
      <c r="N87" s="5"/>
      <c r="S87" s="4"/>
      <c r="T87" s="5"/>
      <c r="V87" s="5"/>
    </row>
    <row r="88" ht="15.75" customHeight="1">
      <c r="C88" s="115"/>
      <c r="D88" s="116" t="s">
        <v>147</v>
      </c>
      <c r="E88" s="117"/>
      <c r="F88" s="117"/>
      <c r="G88" s="118"/>
      <c r="M88" s="4"/>
      <c r="N88" s="5"/>
      <c r="S88" s="4"/>
      <c r="T88" s="5"/>
      <c r="V88" s="5"/>
    </row>
    <row r="89" ht="15.75" customHeight="1">
      <c r="C89" s="119" t="s">
        <v>148</v>
      </c>
      <c r="D89" s="120" t="s">
        <v>149</v>
      </c>
      <c r="E89" s="121" t="s">
        <v>150</v>
      </c>
      <c r="F89" s="121" t="s">
        <v>151</v>
      </c>
      <c r="G89" s="121" t="s">
        <v>152</v>
      </c>
      <c r="M89" s="4"/>
      <c r="N89" s="5"/>
      <c r="S89" s="4"/>
      <c r="T89" s="5"/>
      <c r="V89" s="5"/>
    </row>
    <row r="90" ht="15.75" customHeight="1">
      <c r="C90" s="115"/>
      <c r="D90" s="122">
        <v>440.0</v>
      </c>
      <c r="E90" s="123">
        <v>700.0</v>
      </c>
      <c r="F90" s="124">
        <v>2800.0</v>
      </c>
      <c r="G90" s="125">
        <v>2400.0</v>
      </c>
      <c r="M90" s="4"/>
      <c r="N90" s="5"/>
      <c r="S90" s="4"/>
      <c r="T90" s="5"/>
      <c r="V90" s="5"/>
    </row>
    <row r="91" ht="43.5" customHeight="1">
      <c r="C91" s="126"/>
      <c r="D91" s="117"/>
      <c r="E91" s="117"/>
      <c r="F91" s="117"/>
      <c r="G91" s="118"/>
      <c r="M91" s="4"/>
      <c r="N91" s="5"/>
      <c r="S91" s="4"/>
      <c r="T91" s="5"/>
      <c r="V91" s="5"/>
    </row>
    <row r="92" ht="15.75" customHeight="1">
      <c r="C92" s="127" t="s">
        <v>153</v>
      </c>
      <c r="D92" s="120" t="s">
        <v>154</v>
      </c>
      <c r="E92" s="128" t="s">
        <v>155</v>
      </c>
      <c r="F92" s="128" t="s">
        <v>156</v>
      </c>
      <c r="G92" s="128" t="s">
        <v>157</v>
      </c>
      <c r="M92" s="4"/>
      <c r="N92" s="5"/>
      <c r="S92" s="4"/>
      <c r="T92" s="5"/>
      <c r="V92" s="5"/>
    </row>
    <row r="93" ht="15.75" customHeight="1">
      <c r="D93" s="122">
        <v>63.0</v>
      </c>
      <c r="E93" s="123">
        <v>96.0</v>
      </c>
      <c r="F93" s="176">
        <v>40.0</v>
      </c>
      <c r="G93" s="177">
        <v>40.0</v>
      </c>
      <c r="M93" s="4"/>
      <c r="N93" s="5"/>
      <c r="S93" s="4"/>
      <c r="T93" s="5"/>
      <c r="V93" s="5"/>
    </row>
    <row r="94" ht="15.75" customHeight="1">
      <c r="C94" s="115"/>
      <c r="D94" s="129" t="s">
        <v>158</v>
      </c>
      <c r="E94" s="118"/>
      <c r="F94" s="130">
        <f>SUM(D90:G90,D93:G93)</f>
        <v>6579</v>
      </c>
      <c r="G94" s="115"/>
      <c r="M94" s="4"/>
      <c r="N94" s="5"/>
      <c r="S94" s="4"/>
      <c r="T94" s="5"/>
      <c r="V94" s="5"/>
    </row>
    <row r="95" ht="54.0" customHeight="1">
      <c r="C95" s="115"/>
      <c r="D95" s="131" t="s">
        <v>159</v>
      </c>
      <c r="E95" s="118"/>
      <c r="F95" s="132" t="str">
        <f>E79-O80</f>
        <v>#REF!</v>
      </c>
      <c r="G95" s="115"/>
      <c r="H95" s="5"/>
      <c r="M95" s="4"/>
      <c r="N95" s="5"/>
      <c r="S95" s="4"/>
      <c r="T95" s="5"/>
      <c r="V95" s="5"/>
    </row>
    <row r="96" ht="15.75" customHeight="1">
      <c r="D96" s="3"/>
      <c r="M96" s="4"/>
      <c r="N96" s="5"/>
      <c r="S96" s="4"/>
      <c r="T96" s="5"/>
      <c r="V96" s="5"/>
    </row>
    <row r="97" ht="15.75" customHeight="1">
      <c r="D97" s="3"/>
      <c r="M97" s="4"/>
      <c r="N97" s="5"/>
      <c r="S97" s="4"/>
      <c r="T97" s="5"/>
      <c r="V97" s="5"/>
    </row>
    <row r="98" ht="15.75" customHeight="1">
      <c r="D98" s="3"/>
      <c r="M98" s="4"/>
      <c r="N98" s="5"/>
      <c r="S98" s="4"/>
      <c r="T98" s="5"/>
      <c r="V98" s="5"/>
    </row>
    <row r="99" ht="15.75" customHeight="1">
      <c r="C99" s="133" t="s">
        <v>160</v>
      </c>
      <c r="D99" s="134"/>
      <c r="E99" s="134"/>
      <c r="F99" s="134"/>
      <c r="G99" s="89"/>
      <c r="M99" s="4"/>
      <c r="N99" s="5"/>
      <c r="S99" s="4"/>
      <c r="T99" s="5"/>
      <c r="V99" s="5"/>
    </row>
    <row r="100" ht="15.75" customHeight="1">
      <c r="C100" s="100"/>
      <c r="D100" s="135"/>
      <c r="E100" s="135"/>
      <c r="F100" s="135"/>
      <c r="G100" s="101"/>
      <c r="M100" s="4"/>
      <c r="N100" s="5"/>
      <c r="S100" s="4"/>
      <c r="T100" s="5"/>
      <c r="V100" s="5"/>
    </row>
    <row r="101" ht="49.5" customHeight="1">
      <c r="C101" s="136" t="s">
        <v>161</v>
      </c>
      <c r="D101" s="137">
        <f>E78</f>
        <v>25282</v>
      </c>
      <c r="E101" s="9"/>
      <c r="F101" s="9"/>
      <c r="G101" s="10"/>
      <c r="H101" s="5"/>
      <c r="M101" s="4"/>
      <c r="N101" s="5"/>
      <c r="S101" s="4"/>
      <c r="T101" s="5"/>
      <c r="V101" s="5"/>
    </row>
    <row r="102" ht="49.5" customHeight="1">
      <c r="C102" s="138" t="s">
        <v>162</v>
      </c>
      <c r="D102" s="137">
        <f>N77</f>
        <v>18703</v>
      </c>
      <c r="E102" s="9"/>
      <c r="F102" s="9"/>
      <c r="G102" s="10"/>
      <c r="M102" s="4"/>
      <c r="N102" s="5"/>
      <c r="S102" s="4"/>
      <c r="T102" s="5"/>
      <c r="V102" s="5"/>
    </row>
    <row r="103" ht="49.5" customHeight="1">
      <c r="C103" s="139" t="s">
        <v>163</v>
      </c>
      <c r="D103" s="140">
        <f>T77</f>
        <v>0</v>
      </c>
      <c r="E103" s="9"/>
      <c r="F103" s="9"/>
      <c r="G103" s="10"/>
      <c r="M103" s="4"/>
      <c r="N103" s="5"/>
      <c r="S103" s="4"/>
      <c r="T103" s="5"/>
      <c r="V103" s="5"/>
    </row>
    <row r="104" ht="49.5" customHeight="1">
      <c r="C104" s="141" t="s">
        <v>164</v>
      </c>
      <c r="D104" s="137">
        <f>E79</f>
        <v>6579</v>
      </c>
      <c r="E104" s="9"/>
      <c r="F104" s="9"/>
      <c r="G104" s="10"/>
      <c r="M104" s="4"/>
      <c r="N104" s="5"/>
      <c r="S104" s="4"/>
      <c r="T104" s="5"/>
      <c r="V104" s="5"/>
    </row>
    <row r="105" ht="49.5" customHeight="1">
      <c r="C105" s="141" t="s">
        <v>165</v>
      </c>
      <c r="D105" s="137">
        <f>D104-D103</f>
        <v>6579</v>
      </c>
      <c r="E105" s="9"/>
      <c r="F105" s="9"/>
      <c r="G105" s="10"/>
      <c r="M105" s="4"/>
      <c r="N105" s="5"/>
      <c r="S105" s="4"/>
      <c r="T105" s="5"/>
      <c r="V105" s="5"/>
    </row>
    <row r="106" ht="49.5" customHeight="1">
      <c r="C106" s="142" t="s">
        <v>166</v>
      </c>
      <c r="D106" s="137">
        <f>F94</f>
        <v>6579</v>
      </c>
      <c r="E106" s="9"/>
      <c r="F106" s="9"/>
      <c r="G106" s="10"/>
      <c r="M106" s="4"/>
      <c r="N106" s="5"/>
      <c r="S106" s="4"/>
      <c r="T106" s="5"/>
      <c r="V106" s="5"/>
    </row>
    <row r="107" ht="49.5" customHeight="1">
      <c r="C107" s="143" t="s">
        <v>167</v>
      </c>
      <c r="D107" s="144">
        <f>D104-D106</f>
        <v>0</v>
      </c>
      <c r="E107" s="134"/>
      <c r="F107" s="134"/>
      <c r="G107" s="89"/>
      <c r="M107" s="4"/>
      <c r="N107" s="5"/>
      <c r="S107" s="4"/>
      <c r="T107" s="5"/>
      <c r="V107" s="5"/>
    </row>
    <row r="108" ht="54.0" customHeight="1">
      <c r="C108" s="145" t="s">
        <v>168</v>
      </c>
      <c r="D108" s="146">
        <f>D104-D106</f>
        <v>0</v>
      </c>
      <c r="E108" s="9"/>
      <c r="F108" s="9"/>
      <c r="G108" s="10"/>
      <c r="M108" s="4"/>
      <c r="N108" s="5"/>
      <c r="S108" s="4"/>
      <c r="T108" s="5"/>
      <c r="V108" s="5"/>
    </row>
    <row r="109" ht="15.75" customHeight="1">
      <c r="C109" s="147" t="s">
        <v>169</v>
      </c>
      <c r="D109" s="148" t="str">
        <f>IF((D105-D106)&lt;0,"Sunt Destule chiar in plus cu : "&amp;(-(D105-D106))&amp;" LEI",IF((D105-D106)&gt;0,"Nu ajung : "&amp;(D105-D106)&amp;" LEI","Totul este Perfect"))</f>
        <v>Totul este Perfect</v>
      </c>
      <c r="E109" s="9"/>
      <c r="F109" s="9"/>
      <c r="G109" s="10"/>
      <c r="M109" s="4"/>
      <c r="N109" s="5"/>
      <c r="S109" s="4"/>
      <c r="T109" s="5"/>
      <c r="V109" s="5"/>
    </row>
    <row r="110" ht="15.75" customHeight="1">
      <c r="D110" s="3"/>
      <c r="M110" s="4"/>
      <c r="N110" s="5"/>
      <c r="S110" s="4"/>
      <c r="T110" s="5"/>
      <c r="V110" s="5"/>
    </row>
    <row r="111" ht="15.75" customHeight="1">
      <c r="D111" s="3"/>
      <c r="M111" s="4"/>
      <c r="N111" s="5"/>
      <c r="S111" s="4"/>
      <c r="T111" s="5"/>
      <c r="V111" s="5"/>
    </row>
    <row r="112" ht="15.75" customHeight="1">
      <c r="D112" s="3"/>
      <c r="M112" s="4"/>
      <c r="N112" s="5"/>
      <c r="S112" s="4"/>
      <c r="T112" s="5"/>
      <c r="V112" s="5"/>
    </row>
    <row r="113" ht="15.75" customHeight="1">
      <c r="D113" s="3"/>
      <c r="M113" s="4"/>
      <c r="N113" s="5"/>
      <c r="S113" s="4"/>
      <c r="T113" s="5"/>
      <c r="V113" s="5"/>
    </row>
    <row r="114" ht="15.75" customHeight="1">
      <c r="D114" s="3"/>
      <c r="M114" s="4"/>
      <c r="N114" s="5"/>
      <c r="S114" s="4"/>
      <c r="T114" s="5"/>
      <c r="V114" s="5"/>
    </row>
    <row r="115" ht="15.75" customHeight="1">
      <c r="D115" s="3"/>
      <c r="M115" s="4"/>
      <c r="N115" s="5"/>
      <c r="S115" s="4"/>
      <c r="T115" s="5"/>
      <c r="V115" s="5"/>
    </row>
    <row r="116" ht="15.75" customHeight="1">
      <c r="D116" s="3"/>
      <c r="M116" s="4"/>
      <c r="N116" s="5"/>
      <c r="S116" s="4"/>
      <c r="T116" s="5"/>
      <c r="V116" s="5"/>
    </row>
    <row r="117" ht="15.75" customHeight="1">
      <c r="D117" s="3"/>
      <c r="M117" s="4"/>
      <c r="N117" s="5"/>
      <c r="S117" s="4"/>
      <c r="T117" s="5"/>
      <c r="V117" s="5"/>
    </row>
    <row r="118" ht="15.75" customHeight="1">
      <c r="D118" s="3"/>
      <c r="M118" s="4"/>
      <c r="N118" s="5"/>
      <c r="S118" s="4"/>
      <c r="T118" s="5"/>
      <c r="V118" s="5"/>
    </row>
    <row r="119" ht="15.75" customHeight="1">
      <c r="D119" s="3"/>
      <c r="M119" s="4"/>
      <c r="N119" s="5"/>
      <c r="S119" s="4"/>
      <c r="T119" s="5"/>
      <c r="V119" s="5"/>
    </row>
    <row r="120" ht="15.75" customHeight="1">
      <c r="D120" s="3"/>
      <c r="M120" s="4"/>
      <c r="N120" s="5"/>
      <c r="S120" s="4"/>
      <c r="T120" s="5"/>
      <c r="V120" s="5"/>
    </row>
    <row r="121" ht="15.75" customHeight="1">
      <c r="D121" s="3"/>
      <c r="M121" s="4"/>
      <c r="N121" s="5"/>
      <c r="S121" s="4"/>
      <c r="T121" s="5"/>
      <c r="V121" s="5"/>
    </row>
    <row r="122" ht="15.75" customHeight="1">
      <c r="D122" s="3"/>
      <c r="M122" s="4"/>
      <c r="N122" s="5"/>
      <c r="S122" s="4"/>
      <c r="T122" s="5"/>
      <c r="V122" s="5"/>
    </row>
    <row r="123" ht="15.75" customHeight="1">
      <c r="D123" s="3"/>
      <c r="M123" s="4"/>
      <c r="N123" s="5"/>
      <c r="S123" s="4"/>
      <c r="T123" s="5"/>
      <c r="V123" s="5"/>
    </row>
    <row r="124" ht="15.75" customHeight="1">
      <c r="D124" s="3"/>
      <c r="M124" s="4"/>
      <c r="N124" s="5"/>
      <c r="S124" s="4"/>
      <c r="T124" s="5"/>
      <c r="V124" s="5"/>
    </row>
    <row r="125" ht="15.75" customHeight="1">
      <c r="D125" s="3"/>
      <c r="M125" s="4"/>
      <c r="N125" s="5"/>
      <c r="S125" s="4"/>
      <c r="T125" s="5"/>
      <c r="V125" s="5"/>
    </row>
    <row r="126" ht="15.75" customHeight="1">
      <c r="D126" s="3"/>
      <c r="M126" s="4"/>
      <c r="N126" s="5"/>
      <c r="S126" s="4"/>
      <c r="T126" s="5"/>
      <c r="V126" s="5"/>
    </row>
    <row r="127" ht="15.75" customHeight="1">
      <c r="D127" s="3"/>
      <c r="M127" s="4"/>
      <c r="N127" s="5"/>
      <c r="S127" s="4"/>
      <c r="T127" s="5"/>
      <c r="V127" s="5"/>
    </row>
    <row r="128" ht="15.75" customHeight="1">
      <c r="D128" s="3"/>
      <c r="M128" s="4"/>
      <c r="N128" s="5"/>
      <c r="S128" s="4"/>
      <c r="T128" s="5"/>
      <c r="V128" s="5"/>
    </row>
    <row r="129" ht="15.75" customHeight="1">
      <c r="D129" s="3"/>
      <c r="M129" s="4"/>
      <c r="N129" s="5"/>
      <c r="S129" s="4"/>
      <c r="T129" s="5"/>
      <c r="V129" s="5"/>
    </row>
    <row r="130" ht="15.75" customHeight="1">
      <c r="D130" s="3"/>
      <c r="M130" s="4"/>
      <c r="N130" s="5"/>
      <c r="S130" s="4"/>
      <c r="T130" s="5"/>
      <c r="V130" s="5"/>
    </row>
    <row r="131" ht="15.75" customHeight="1">
      <c r="D131" s="3"/>
      <c r="M131" s="4"/>
      <c r="N131" s="5"/>
      <c r="S131" s="4"/>
      <c r="T131" s="5"/>
      <c r="V131" s="5"/>
    </row>
    <row r="132" ht="15.75" customHeight="1">
      <c r="D132" s="3"/>
      <c r="M132" s="4"/>
      <c r="N132" s="5"/>
      <c r="S132" s="4"/>
      <c r="T132" s="5"/>
      <c r="V132" s="5"/>
    </row>
    <row r="133" ht="15.75" customHeight="1">
      <c r="D133" s="3"/>
      <c r="M133" s="4"/>
      <c r="N133" s="5"/>
      <c r="S133" s="4"/>
      <c r="T133" s="5"/>
      <c r="V133" s="5"/>
    </row>
    <row r="134" ht="15.75" customHeight="1">
      <c r="D134" s="3"/>
      <c r="M134" s="4"/>
      <c r="N134" s="5"/>
      <c r="S134" s="4"/>
      <c r="T134" s="5"/>
      <c r="V134" s="5"/>
    </row>
    <row r="135" ht="15.75" customHeight="1">
      <c r="D135" s="3"/>
      <c r="M135" s="4"/>
      <c r="N135" s="5"/>
      <c r="S135" s="4"/>
      <c r="T135" s="5"/>
      <c r="V135" s="5"/>
    </row>
    <row r="136" ht="15.75" customHeight="1">
      <c r="D136" s="3"/>
      <c r="M136" s="4"/>
      <c r="N136" s="5"/>
      <c r="S136" s="4"/>
      <c r="T136" s="5"/>
      <c r="V136" s="5"/>
    </row>
    <row r="137" ht="15.75" customHeight="1">
      <c r="D137" s="3"/>
      <c r="M137" s="4"/>
      <c r="N137" s="5"/>
      <c r="S137" s="4"/>
      <c r="T137" s="5"/>
      <c r="V137" s="5"/>
    </row>
    <row r="138" ht="15.75" customHeight="1">
      <c r="D138" s="3"/>
      <c r="M138" s="4"/>
      <c r="N138" s="5"/>
      <c r="S138" s="4"/>
      <c r="T138" s="5"/>
      <c r="V138" s="5"/>
    </row>
    <row r="139" ht="15.75" customHeight="1">
      <c r="D139" s="3"/>
      <c r="M139" s="4"/>
      <c r="N139" s="5"/>
      <c r="S139" s="4"/>
      <c r="T139" s="5"/>
      <c r="V139" s="5"/>
    </row>
    <row r="140" ht="15.75" customHeight="1">
      <c r="D140" s="3"/>
      <c r="M140" s="4"/>
      <c r="N140" s="5"/>
      <c r="S140" s="4"/>
      <c r="T140" s="5"/>
      <c r="V140" s="5"/>
    </row>
    <row r="141" ht="15.75" customHeight="1">
      <c r="D141" s="3"/>
      <c r="M141" s="4"/>
      <c r="N141" s="5"/>
      <c r="S141" s="4"/>
      <c r="T141" s="5"/>
      <c r="V141" s="5"/>
    </row>
    <row r="142" ht="15.75" customHeight="1">
      <c r="D142" s="3"/>
      <c r="M142" s="4"/>
      <c r="N142" s="5"/>
      <c r="S142" s="4"/>
      <c r="T142" s="5"/>
      <c r="V142" s="5"/>
    </row>
    <row r="143" ht="15.75" customHeight="1">
      <c r="D143" s="3"/>
      <c r="M143" s="4"/>
      <c r="N143" s="5"/>
      <c r="S143" s="4"/>
      <c r="T143" s="5"/>
      <c r="V143" s="5"/>
    </row>
    <row r="144" ht="15.75" customHeight="1">
      <c r="D144" s="3"/>
      <c r="M144" s="4"/>
      <c r="N144" s="5"/>
      <c r="S144" s="4"/>
      <c r="T144" s="5"/>
      <c r="V144" s="5"/>
    </row>
    <row r="145" ht="15.75" customHeight="1">
      <c r="D145" s="3"/>
      <c r="M145" s="4"/>
      <c r="N145" s="5"/>
      <c r="S145" s="4"/>
      <c r="T145" s="5"/>
      <c r="V145" s="5"/>
    </row>
    <row r="146" ht="15.75" customHeight="1">
      <c r="D146" s="3"/>
      <c r="M146" s="4"/>
      <c r="N146" s="5"/>
      <c r="S146" s="4"/>
      <c r="T146" s="5"/>
      <c r="V146" s="5"/>
    </row>
    <row r="147" ht="15.75" customHeight="1">
      <c r="D147" s="3"/>
      <c r="M147" s="4"/>
      <c r="N147" s="5"/>
      <c r="S147" s="4"/>
      <c r="T147" s="5"/>
      <c r="V147" s="5"/>
    </row>
    <row r="148" ht="15.75" customHeight="1">
      <c r="D148" s="3"/>
      <c r="M148" s="4"/>
      <c r="N148" s="5"/>
      <c r="S148" s="4"/>
      <c r="T148" s="5"/>
      <c r="V148" s="5"/>
    </row>
    <row r="149" ht="15.75" customHeight="1">
      <c r="D149" s="3"/>
      <c r="M149" s="4"/>
      <c r="N149" s="5"/>
      <c r="S149" s="4"/>
      <c r="T149" s="5"/>
      <c r="V149" s="5"/>
    </row>
    <row r="150" ht="15.75" customHeight="1">
      <c r="D150" s="3"/>
      <c r="M150" s="4"/>
      <c r="N150" s="5"/>
      <c r="S150" s="4"/>
      <c r="T150" s="5"/>
      <c r="V150" s="5"/>
    </row>
    <row r="151" ht="15.75" customHeight="1">
      <c r="D151" s="3"/>
      <c r="M151" s="4"/>
      <c r="N151" s="5"/>
      <c r="S151" s="4"/>
      <c r="T151" s="5"/>
      <c r="V151" s="5"/>
    </row>
    <row r="152" ht="15.75" customHeight="1">
      <c r="D152" s="3"/>
      <c r="M152" s="4"/>
      <c r="N152" s="5"/>
      <c r="S152" s="4"/>
      <c r="T152" s="5"/>
      <c r="V152" s="5"/>
    </row>
    <row r="153" ht="15.75" customHeight="1">
      <c r="D153" s="3"/>
      <c r="M153" s="4"/>
      <c r="N153" s="5"/>
      <c r="S153" s="4"/>
      <c r="T153" s="5"/>
      <c r="V153" s="5"/>
    </row>
    <row r="154" ht="15.75" customHeight="1">
      <c r="D154" s="3"/>
      <c r="M154" s="4"/>
      <c r="N154" s="5"/>
      <c r="S154" s="4"/>
      <c r="T154" s="5"/>
      <c r="V154" s="5"/>
    </row>
    <row r="155" ht="15.75" customHeight="1">
      <c r="D155" s="3"/>
      <c r="M155" s="4"/>
      <c r="N155" s="5"/>
      <c r="S155" s="4"/>
      <c r="T155" s="5"/>
      <c r="V155" s="5"/>
    </row>
    <row r="156" ht="15.75" customHeight="1">
      <c r="D156" s="3"/>
      <c r="M156" s="4"/>
      <c r="N156" s="5"/>
      <c r="S156" s="4"/>
      <c r="T156" s="5"/>
      <c r="V156" s="5"/>
    </row>
    <row r="157" ht="15.75" customHeight="1">
      <c r="D157" s="3"/>
      <c r="M157" s="4"/>
      <c r="N157" s="5"/>
      <c r="S157" s="4"/>
      <c r="T157" s="5"/>
      <c r="V157" s="5"/>
    </row>
    <row r="158" ht="15.75" customHeight="1">
      <c r="D158" s="3"/>
      <c r="M158" s="4"/>
      <c r="N158" s="5"/>
      <c r="S158" s="4"/>
      <c r="T158" s="5"/>
      <c r="V158" s="5"/>
    </row>
    <row r="159" ht="15.75" customHeight="1">
      <c r="D159" s="3"/>
      <c r="M159" s="4"/>
      <c r="N159" s="5"/>
      <c r="S159" s="4"/>
      <c r="T159" s="5"/>
      <c r="V159" s="5"/>
    </row>
    <row r="160" ht="15.75" customHeight="1">
      <c r="D160" s="3"/>
      <c r="M160" s="4"/>
      <c r="N160" s="5"/>
      <c r="S160" s="4"/>
      <c r="T160" s="5"/>
      <c r="V160" s="5"/>
    </row>
    <row r="161" ht="15.75" customHeight="1">
      <c r="D161" s="3"/>
      <c r="M161" s="4"/>
      <c r="N161" s="5"/>
      <c r="S161" s="4"/>
      <c r="T161" s="5"/>
      <c r="V161" s="5"/>
    </row>
    <row r="162" ht="15.75" customHeight="1">
      <c r="D162" s="3"/>
      <c r="M162" s="4"/>
      <c r="N162" s="5"/>
      <c r="S162" s="4"/>
      <c r="T162" s="5"/>
      <c r="V162" s="5"/>
    </row>
    <row r="163" ht="15.75" customHeight="1">
      <c r="D163" s="3"/>
      <c r="M163" s="4"/>
      <c r="N163" s="5"/>
      <c r="S163" s="4"/>
      <c r="T163" s="5"/>
      <c r="V163" s="5"/>
    </row>
    <row r="164" ht="15.75" customHeight="1">
      <c r="D164" s="3"/>
      <c r="M164" s="4"/>
      <c r="N164" s="5"/>
      <c r="S164" s="4"/>
      <c r="T164" s="5"/>
      <c r="V164" s="5"/>
    </row>
    <row r="165" ht="15.75" customHeight="1">
      <c r="D165" s="3"/>
      <c r="M165" s="4"/>
      <c r="N165" s="5"/>
      <c r="S165" s="4"/>
      <c r="T165" s="5"/>
      <c r="V165" s="5"/>
    </row>
    <row r="166" ht="15.75" customHeight="1">
      <c r="D166" s="3"/>
      <c r="M166" s="4"/>
      <c r="N166" s="5"/>
      <c r="S166" s="4"/>
      <c r="T166" s="5"/>
      <c r="V166" s="5"/>
    </row>
    <row r="167" ht="15.0" customHeight="1">
      <c r="D167" s="3"/>
      <c r="M167" s="4"/>
      <c r="N167" s="5"/>
      <c r="S167" s="4"/>
      <c r="T167" s="5"/>
      <c r="V167" s="5"/>
    </row>
    <row r="168" ht="30.75" customHeight="1">
      <c r="D168" s="3"/>
      <c r="M168" s="4"/>
      <c r="N168" s="5"/>
      <c r="S168" s="4"/>
      <c r="T168" s="5"/>
      <c r="V168" s="5"/>
    </row>
    <row r="169" ht="30.0" customHeight="1">
      <c r="D169" s="3"/>
      <c r="M169" s="4"/>
      <c r="N169" s="5"/>
      <c r="S169" s="4"/>
      <c r="T169" s="5"/>
      <c r="V169" s="5"/>
    </row>
    <row r="170" ht="15.75" customHeight="1">
      <c r="D170" s="3"/>
      <c r="M170" s="4"/>
      <c r="N170" s="5"/>
      <c r="S170" s="4"/>
      <c r="T170" s="5"/>
      <c r="V170" s="5"/>
    </row>
    <row r="171" ht="15.75" customHeight="1">
      <c r="D171" s="3"/>
      <c r="M171" s="4"/>
      <c r="N171" s="5"/>
      <c r="S171" s="4"/>
      <c r="T171" s="5"/>
      <c r="V171" s="5"/>
    </row>
    <row r="172" ht="15.75" customHeight="1">
      <c r="D172" s="3"/>
      <c r="M172" s="4"/>
      <c r="N172" s="5"/>
      <c r="S172" s="4"/>
      <c r="T172" s="5"/>
      <c r="V172" s="5"/>
    </row>
    <row r="173" ht="15.75" customHeight="1">
      <c r="D173" s="3"/>
      <c r="M173" s="4"/>
      <c r="N173" s="5"/>
      <c r="S173" s="4"/>
      <c r="T173" s="5"/>
      <c r="V173" s="5"/>
    </row>
    <row r="174" ht="15.75" customHeight="1">
      <c r="D174" s="3"/>
      <c r="M174" s="4"/>
      <c r="N174" s="5"/>
      <c r="S174" s="4"/>
      <c r="T174" s="5"/>
      <c r="V174" s="5"/>
    </row>
    <row r="175" ht="15.75" customHeight="1">
      <c r="D175" s="3"/>
      <c r="M175" s="4"/>
      <c r="N175" s="5"/>
      <c r="S175" s="4"/>
      <c r="T175" s="5"/>
      <c r="V175" s="5"/>
    </row>
    <row r="176" ht="15.75" customHeight="1">
      <c r="D176" s="3"/>
      <c r="M176" s="4"/>
      <c r="N176" s="5"/>
      <c r="S176" s="4"/>
      <c r="T176" s="5"/>
      <c r="V176" s="5"/>
    </row>
    <row r="177" ht="15.75" customHeight="1">
      <c r="D177" s="3"/>
      <c r="M177" s="4"/>
      <c r="N177" s="5"/>
      <c r="S177" s="4"/>
      <c r="T177" s="5"/>
      <c r="V177" s="5"/>
    </row>
    <row r="178" ht="15.75" customHeight="1">
      <c r="D178" s="3"/>
      <c r="M178" s="4"/>
      <c r="N178" s="5"/>
      <c r="S178" s="4"/>
      <c r="T178" s="5"/>
      <c r="V178" s="5"/>
    </row>
    <row r="179" ht="15.75" customHeight="1">
      <c r="D179" s="3"/>
      <c r="M179" s="4"/>
      <c r="N179" s="5"/>
      <c r="S179" s="4"/>
      <c r="T179" s="5"/>
      <c r="V179" s="5"/>
    </row>
    <row r="180" ht="15.75" customHeight="1">
      <c r="D180" s="3"/>
      <c r="M180" s="4"/>
      <c r="N180" s="5"/>
      <c r="S180" s="4"/>
      <c r="T180" s="5"/>
      <c r="V180" s="5"/>
    </row>
    <row r="181" ht="15.75" customHeight="1">
      <c r="D181" s="3"/>
      <c r="M181" s="4"/>
      <c r="N181" s="5"/>
      <c r="S181" s="4"/>
      <c r="T181" s="5"/>
      <c r="V181" s="5"/>
    </row>
    <row r="182" ht="60.75" customHeight="1">
      <c r="D182" s="3"/>
      <c r="M182" s="4"/>
      <c r="N182" s="5"/>
      <c r="S182" s="4"/>
      <c r="T182" s="5"/>
      <c r="V182" s="5"/>
    </row>
    <row r="183" ht="15.75" customHeight="1">
      <c r="D183" s="3"/>
      <c r="M183" s="4"/>
      <c r="N183" s="5"/>
      <c r="S183" s="4"/>
      <c r="T183" s="5"/>
      <c r="V183" s="5"/>
    </row>
    <row r="184" ht="15.75" customHeight="1">
      <c r="D184" s="3"/>
      <c r="M184" s="4"/>
      <c r="N184" s="5"/>
      <c r="S184" s="4"/>
      <c r="T184" s="5"/>
      <c r="V184" s="5"/>
    </row>
    <row r="185" ht="15.75" customHeight="1">
      <c r="D185" s="3"/>
      <c r="M185" s="4"/>
      <c r="N185" s="5"/>
      <c r="S185" s="4"/>
      <c r="T185" s="5"/>
      <c r="V185" s="5"/>
    </row>
    <row r="186" ht="15.75" customHeight="1">
      <c r="D186" s="3"/>
      <c r="M186" s="4"/>
      <c r="N186" s="5"/>
      <c r="S186" s="4"/>
      <c r="T186" s="5"/>
      <c r="V186" s="5"/>
    </row>
    <row r="187" ht="15.75" customHeight="1">
      <c r="D187" s="3"/>
      <c r="M187" s="4"/>
      <c r="N187" s="5"/>
      <c r="S187" s="4"/>
      <c r="T187" s="5"/>
      <c r="V187" s="5"/>
    </row>
    <row r="188" ht="15.75" customHeight="1">
      <c r="D188" s="3"/>
      <c r="M188" s="4"/>
      <c r="N188" s="5"/>
      <c r="S188" s="4"/>
      <c r="T188" s="5"/>
      <c r="V188" s="5"/>
    </row>
    <row r="189" ht="15.75" customHeight="1">
      <c r="D189" s="3"/>
      <c r="M189" s="4"/>
      <c r="N189" s="5"/>
      <c r="S189" s="4"/>
      <c r="T189" s="5"/>
      <c r="V189" s="5"/>
    </row>
    <row r="190" ht="15.75" customHeight="1">
      <c r="D190" s="3"/>
      <c r="M190" s="4"/>
      <c r="N190" s="5"/>
      <c r="S190" s="4"/>
      <c r="T190" s="5"/>
      <c r="V190" s="5"/>
    </row>
    <row r="191" ht="15.75" customHeight="1">
      <c r="D191" s="3"/>
      <c r="M191" s="4"/>
      <c r="N191" s="5"/>
      <c r="S191" s="4"/>
      <c r="T191" s="5"/>
      <c r="V191" s="5"/>
    </row>
    <row r="192" ht="15.75" customHeight="1">
      <c r="D192" s="3"/>
      <c r="M192" s="4"/>
      <c r="N192" s="5"/>
      <c r="S192" s="4"/>
      <c r="T192" s="5"/>
      <c r="V192" s="5"/>
    </row>
    <row r="193" ht="15.75" customHeight="1">
      <c r="D193" s="3"/>
      <c r="M193" s="4"/>
      <c r="N193" s="5"/>
      <c r="S193" s="4"/>
      <c r="T193" s="5"/>
      <c r="V193" s="5"/>
    </row>
    <row r="194" ht="15.75" customHeight="1">
      <c r="D194" s="3"/>
      <c r="M194" s="4"/>
      <c r="N194" s="5"/>
      <c r="S194" s="4"/>
      <c r="T194" s="5"/>
      <c r="V194" s="5"/>
    </row>
    <row r="195" ht="15.75" customHeight="1">
      <c r="D195" s="3"/>
      <c r="M195" s="4"/>
      <c r="N195" s="5"/>
      <c r="S195" s="4"/>
      <c r="T195" s="5"/>
      <c r="V195" s="5"/>
    </row>
    <row r="196" ht="15.75" customHeight="1">
      <c r="D196" s="3"/>
      <c r="M196" s="4"/>
      <c r="N196" s="5"/>
      <c r="S196" s="4"/>
      <c r="T196" s="5"/>
      <c r="V196" s="5"/>
    </row>
    <row r="197" ht="15.75" customHeight="1">
      <c r="D197" s="3"/>
      <c r="M197" s="4"/>
      <c r="N197" s="5"/>
      <c r="S197" s="4"/>
      <c r="T197" s="5"/>
      <c r="V197" s="5"/>
    </row>
    <row r="198" ht="15.75" customHeight="1">
      <c r="D198" s="3"/>
      <c r="M198" s="4"/>
      <c r="N198" s="5"/>
      <c r="S198" s="4"/>
      <c r="T198" s="5"/>
      <c r="V198" s="5"/>
    </row>
    <row r="199" ht="15.75" customHeight="1">
      <c r="D199" s="3"/>
      <c r="M199" s="4"/>
      <c r="N199" s="5"/>
      <c r="S199" s="4"/>
      <c r="T199" s="5"/>
      <c r="V199" s="5"/>
    </row>
    <row r="200" ht="15.75" customHeight="1">
      <c r="D200" s="3"/>
      <c r="M200" s="4"/>
      <c r="N200" s="5"/>
      <c r="S200" s="4"/>
      <c r="T200" s="5"/>
      <c r="V200" s="5"/>
    </row>
    <row r="201" ht="15.75" customHeight="1">
      <c r="D201" s="3"/>
      <c r="M201" s="4"/>
      <c r="N201" s="5"/>
      <c r="S201" s="4"/>
      <c r="T201" s="5"/>
      <c r="V201" s="5"/>
    </row>
    <row r="202" ht="15.75" customHeight="1">
      <c r="D202" s="3"/>
      <c r="M202" s="4"/>
      <c r="N202" s="5"/>
      <c r="S202" s="4"/>
      <c r="T202" s="5"/>
      <c r="V202" s="5"/>
    </row>
    <row r="203" ht="15.75" customHeight="1">
      <c r="D203" s="3"/>
      <c r="M203" s="4"/>
      <c r="N203" s="5"/>
      <c r="S203" s="4"/>
      <c r="T203" s="5"/>
      <c r="V203" s="5"/>
    </row>
    <row r="204" ht="15.75" customHeight="1">
      <c r="D204" s="3"/>
      <c r="M204" s="4"/>
      <c r="N204" s="5"/>
      <c r="S204" s="4"/>
      <c r="T204" s="5"/>
      <c r="V204" s="5"/>
    </row>
    <row r="205" ht="15.75" customHeight="1">
      <c r="D205" s="3"/>
      <c r="M205" s="4"/>
      <c r="N205" s="5"/>
      <c r="S205" s="4"/>
      <c r="T205" s="5"/>
      <c r="V205" s="5"/>
    </row>
    <row r="206" ht="15.75" customHeight="1">
      <c r="D206" s="3"/>
      <c r="M206" s="4"/>
      <c r="N206" s="5"/>
      <c r="S206" s="4"/>
      <c r="T206" s="5"/>
      <c r="V206" s="5"/>
    </row>
    <row r="207" ht="15.75" customHeight="1">
      <c r="D207" s="3"/>
      <c r="M207" s="4"/>
      <c r="N207" s="5"/>
      <c r="S207" s="4"/>
      <c r="T207" s="5"/>
      <c r="V207" s="5"/>
    </row>
    <row r="208" ht="15.75" customHeight="1">
      <c r="D208" s="3"/>
      <c r="M208" s="4"/>
      <c r="N208" s="5"/>
      <c r="S208" s="4"/>
      <c r="T208" s="5"/>
      <c r="V208" s="5"/>
    </row>
    <row r="209" ht="15.75" customHeight="1">
      <c r="D209" s="3"/>
      <c r="M209" s="4"/>
      <c r="N209" s="5"/>
      <c r="S209" s="4"/>
      <c r="T209" s="5"/>
      <c r="V209" s="5"/>
    </row>
    <row r="210" ht="15.75" customHeight="1">
      <c r="D210" s="3"/>
      <c r="M210" s="4"/>
      <c r="N210" s="5"/>
      <c r="S210" s="4"/>
      <c r="T210" s="5"/>
      <c r="V210" s="5"/>
    </row>
    <row r="211" ht="15.75" customHeight="1">
      <c r="D211" s="3"/>
      <c r="M211" s="4"/>
      <c r="N211" s="5"/>
      <c r="S211" s="4"/>
      <c r="T211" s="5"/>
      <c r="V211" s="5"/>
    </row>
    <row r="212" ht="15.75" customHeight="1">
      <c r="D212" s="3"/>
      <c r="M212" s="4"/>
      <c r="N212" s="5"/>
      <c r="S212" s="4"/>
      <c r="T212" s="5"/>
      <c r="V212" s="5"/>
    </row>
    <row r="213" ht="15.75" customHeight="1">
      <c r="D213" s="3"/>
      <c r="M213" s="4"/>
      <c r="N213" s="5"/>
      <c r="S213" s="4"/>
      <c r="T213" s="5"/>
      <c r="V213" s="5"/>
    </row>
    <row r="214" ht="15.75" customHeight="1">
      <c r="D214" s="3"/>
      <c r="M214" s="4"/>
      <c r="N214" s="5"/>
      <c r="S214" s="4"/>
      <c r="T214" s="5"/>
      <c r="V214" s="5"/>
    </row>
    <row r="215" ht="15.75" customHeight="1">
      <c r="D215" s="3"/>
      <c r="M215" s="4"/>
      <c r="N215" s="5"/>
      <c r="S215" s="4"/>
      <c r="T215" s="5"/>
      <c r="V215" s="5"/>
    </row>
    <row r="216" ht="15.75" customHeight="1">
      <c r="D216" s="3"/>
      <c r="M216" s="4"/>
      <c r="N216" s="5"/>
      <c r="S216" s="4"/>
      <c r="T216" s="5"/>
      <c r="V216" s="5"/>
    </row>
    <row r="217" ht="15.75" customHeight="1">
      <c r="D217" s="3"/>
      <c r="M217" s="4"/>
      <c r="N217" s="5"/>
      <c r="S217" s="4"/>
      <c r="T217" s="5"/>
      <c r="V217" s="5"/>
    </row>
    <row r="218" ht="15.75" customHeight="1">
      <c r="D218" s="3"/>
      <c r="M218" s="4"/>
      <c r="N218" s="5"/>
      <c r="S218" s="4"/>
      <c r="T218" s="5"/>
      <c r="V218" s="5"/>
    </row>
    <row r="219" ht="15.75" customHeight="1">
      <c r="D219" s="3"/>
      <c r="M219" s="4"/>
      <c r="N219" s="5"/>
      <c r="S219" s="4"/>
      <c r="T219" s="5"/>
      <c r="V219" s="5"/>
    </row>
    <row r="220" ht="15.75" customHeight="1">
      <c r="D220" s="3"/>
      <c r="M220" s="4"/>
      <c r="N220" s="5"/>
      <c r="S220" s="4"/>
      <c r="T220" s="5"/>
      <c r="V220" s="5"/>
    </row>
    <row r="221" ht="15.75" customHeight="1">
      <c r="D221" s="3"/>
      <c r="M221" s="4"/>
      <c r="N221" s="5"/>
      <c r="S221" s="4"/>
      <c r="T221" s="5"/>
      <c r="V221" s="5"/>
    </row>
    <row r="222" ht="15.75" customHeight="1">
      <c r="D222" s="3"/>
      <c r="M222" s="4"/>
      <c r="N222" s="5"/>
      <c r="S222" s="4"/>
      <c r="T222" s="5"/>
      <c r="V222" s="5"/>
    </row>
    <row r="223" ht="15.75" customHeight="1">
      <c r="D223" s="3"/>
      <c r="M223" s="4"/>
      <c r="N223" s="5"/>
      <c r="S223" s="4"/>
      <c r="T223" s="5"/>
      <c r="V223" s="5"/>
    </row>
    <row r="224" ht="15.75" customHeight="1">
      <c r="D224" s="3"/>
      <c r="M224" s="4"/>
      <c r="N224" s="5"/>
      <c r="S224" s="4"/>
      <c r="T224" s="5"/>
      <c r="V224" s="5"/>
    </row>
    <row r="225" ht="15.75" customHeight="1">
      <c r="D225" s="3"/>
      <c r="M225" s="4"/>
      <c r="N225" s="5"/>
      <c r="S225" s="4"/>
      <c r="T225" s="5"/>
      <c r="V225" s="5"/>
    </row>
    <row r="226" ht="15.75" customHeight="1">
      <c r="D226" s="3"/>
      <c r="M226" s="4"/>
      <c r="N226" s="5"/>
      <c r="S226" s="4"/>
      <c r="T226" s="5"/>
      <c r="V226" s="5"/>
    </row>
    <row r="227" ht="15.75" customHeight="1">
      <c r="D227" s="3"/>
      <c r="M227" s="4"/>
      <c r="N227" s="5"/>
      <c r="S227" s="4"/>
      <c r="T227" s="5"/>
      <c r="V227" s="5"/>
    </row>
    <row r="228" ht="15.75" customHeight="1">
      <c r="D228" s="3"/>
      <c r="M228" s="4"/>
      <c r="N228" s="5"/>
      <c r="S228" s="4"/>
      <c r="T228" s="5"/>
      <c r="V228" s="5"/>
    </row>
    <row r="229" ht="15.75" customHeight="1">
      <c r="D229" s="3"/>
      <c r="M229" s="4"/>
      <c r="N229" s="5"/>
      <c r="S229" s="4"/>
      <c r="T229" s="5"/>
      <c r="V229" s="5"/>
    </row>
    <row r="230" ht="15.75" customHeight="1">
      <c r="D230" s="3"/>
      <c r="M230" s="4"/>
      <c r="N230" s="5"/>
      <c r="S230" s="4"/>
      <c r="T230" s="5"/>
      <c r="V230" s="5"/>
    </row>
    <row r="231" ht="15.75" customHeight="1">
      <c r="D231" s="3"/>
      <c r="M231" s="4"/>
      <c r="N231" s="5"/>
      <c r="S231" s="4"/>
      <c r="T231" s="5"/>
      <c r="V231" s="5"/>
    </row>
    <row r="232" ht="15.75" customHeight="1">
      <c r="D232" s="3"/>
      <c r="M232" s="4"/>
      <c r="N232" s="5"/>
      <c r="S232" s="4"/>
      <c r="T232" s="5"/>
      <c r="V232" s="5"/>
    </row>
    <row r="233" ht="15.75" customHeight="1">
      <c r="D233" s="3"/>
      <c r="M233" s="4"/>
      <c r="N233" s="5"/>
      <c r="S233" s="4"/>
      <c r="T233" s="5"/>
      <c r="V233" s="5"/>
    </row>
    <row r="234" ht="15.75" customHeight="1">
      <c r="D234" s="3"/>
      <c r="M234" s="4"/>
      <c r="N234" s="5"/>
      <c r="S234" s="4"/>
      <c r="T234" s="5"/>
      <c r="V234" s="5"/>
    </row>
    <row r="235" ht="15.75" customHeight="1">
      <c r="D235" s="3"/>
      <c r="M235" s="4"/>
      <c r="N235" s="5"/>
      <c r="S235" s="4"/>
      <c r="T235" s="5"/>
      <c r="V235" s="5"/>
    </row>
    <row r="236" ht="15.75" customHeight="1">
      <c r="D236" s="3"/>
      <c r="M236" s="4"/>
      <c r="N236" s="5"/>
      <c r="S236" s="4"/>
      <c r="T236" s="5"/>
      <c r="V236" s="5"/>
    </row>
    <row r="237" ht="15.75" customHeight="1">
      <c r="D237" s="3"/>
      <c r="M237" s="4"/>
      <c r="N237" s="5"/>
      <c r="S237" s="4"/>
      <c r="T237" s="5"/>
      <c r="V237" s="5"/>
    </row>
    <row r="238" ht="15.75" customHeight="1">
      <c r="D238" s="3"/>
      <c r="M238" s="4"/>
      <c r="N238" s="5"/>
      <c r="S238" s="4"/>
      <c r="T238" s="5"/>
      <c r="V238" s="5"/>
    </row>
    <row r="239" ht="15.75" customHeight="1">
      <c r="D239" s="3"/>
      <c r="M239" s="4"/>
      <c r="N239" s="5"/>
      <c r="S239" s="4"/>
      <c r="T239" s="5"/>
      <c r="V239" s="5"/>
    </row>
    <row r="240" ht="15.75" customHeight="1">
      <c r="D240" s="3"/>
      <c r="M240" s="4"/>
      <c r="N240" s="5"/>
      <c r="S240" s="4"/>
      <c r="T240" s="5"/>
      <c r="V240" s="5"/>
    </row>
    <row r="241" ht="15.75" customHeight="1">
      <c r="D241" s="3"/>
      <c r="M241" s="4"/>
      <c r="N241" s="5"/>
      <c r="S241" s="4"/>
      <c r="T241" s="5"/>
      <c r="V241" s="5"/>
    </row>
    <row r="242" ht="15.75" customHeight="1">
      <c r="D242" s="3"/>
      <c r="M242" s="4"/>
      <c r="N242" s="5"/>
      <c r="S242" s="4"/>
      <c r="T242" s="5"/>
      <c r="V242" s="5"/>
    </row>
    <row r="243" ht="15.75" customHeight="1">
      <c r="D243" s="3"/>
      <c r="M243" s="4"/>
      <c r="N243" s="5"/>
      <c r="S243" s="4"/>
      <c r="T243" s="5"/>
      <c r="V243" s="5"/>
    </row>
    <row r="244" ht="15.75" customHeight="1">
      <c r="D244" s="3"/>
      <c r="M244" s="4"/>
      <c r="N244" s="5"/>
      <c r="S244" s="4"/>
      <c r="T244" s="5"/>
      <c r="V244" s="5"/>
    </row>
    <row r="245" ht="15.75" customHeight="1">
      <c r="D245" s="3"/>
      <c r="M245" s="4"/>
      <c r="N245" s="5"/>
      <c r="S245" s="4"/>
      <c r="T245" s="5"/>
      <c r="V245" s="5"/>
    </row>
    <row r="246" ht="15.75" customHeight="1">
      <c r="D246" s="3"/>
      <c r="M246" s="4"/>
      <c r="N246" s="5"/>
      <c r="S246" s="4"/>
      <c r="T246" s="5"/>
      <c r="V246" s="5"/>
    </row>
    <row r="247" ht="15.75" customHeight="1">
      <c r="D247" s="3"/>
      <c r="M247" s="4"/>
      <c r="N247" s="5"/>
      <c r="S247" s="4"/>
      <c r="T247" s="5"/>
      <c r="V247" s="5"/>
    </row>
    <row r="248" ht="15.75" customHeight="1">
      <c r="D248" s="3"/>
      <c r="M248" s="4"/>
      <c r="N248" s="5"/>
      <c r="S248" s="4"/>
      <c r="T248" s="5"/>
      <c r="V248" s="5"/>
    </row>
    <row r="249" ht="15.75" customHeight="1">
      <c r="D249" s="3"/>
      <c r="M249" s="4"/>
      <c r="N249" s="5"/>
      <c r="S249" s="4"/>
      <c r="T249" s="5"/>
      <c r="V249" s="5"/>
    </row>
    <row r="250" ht="15.75" customHeight="1">
      <c r="D250" s="3"/>
      <c r="M250" s="4"/>
      <c r="N250" s="5"/>
      <c r="S250" s="4"/>
      <c r="T250" s="5"/>
      <c r="V250" s="5"/>
    </row>
    <row r="251" ht="15.75" customHeight="1">
      <c r="D251" s="3"/>
      <c r="M251" s="4"/>
      <c r="N251" s="5"/>
      <c r="S251" s="4"/>
      <c r="T251" s="5"/>
      <c r="V251" s="5"/>
    </row>
    <row r="252" ht="15.75" customHeight="1">
      <c r="D252" s="3"/>
      <c r="M252" s="4"/>
      <c r="N252" s="5"/>
      <c r="S252" s="4"/>
      <c r="T252" s="5"/>
      <c r="V252" s="5"/>
    </row>
    <row r="253" ht="15.75" customHeight="1">
      <c r="D253" s="3"/>
      <c r="M253" s="4"/>
      <c r="N253" s="5"/>
      <c r="S253" s="4"/>
      <c r="T253" s="5"/>
      <c r="V253" s="5"/>
    </row>
    <row r="254" ht="15.75" customHeight="1">
      <c r="D254" s="3"/>
      <c r="M254" s="4"/>
      <c r="N254" s="5"/>
      <c r="S254" s="4"/>
      <c r="T254" s="5"/>
      <c r="V254" s="5"/>
    </row>
    <row r="255" ht="15.75" customHeight="1">
      <c r="D255" s="3"/>
      <c r="M255" s="4"/>
      <c r="N255" s="5"/>
      <c r="S255" s="4"/>
      <c r="T255" s="5"/>
      <c r="V255" s="5"/>
    </row>
    <row r="256" ht="15.75" customHeight="1">
      <c r="D256" s="3"/>
      <c r="M256" s="4"/>
      <c r="N256" s="5"/>
      <c r="S256" s="4"/>
      <c r="T256" s="5"/>
      <c r="V256" s="5"/>
    </row>
    <row r="257" ht="15.75" customHeight="1">
      <c r="D257" s="3"/>
      <c r="M257" s="4"/>
      <c r="N257" s="5"/>
      <c r="S257" s="4"/>
      <c r="T257" s="5"/>
      <c r="V257" s="5"/>
    </row>
    <row r="258" ht="15.75" customHeight="1">
      <c r="D258" s="3"/>
      <c r="M258" s="4"/>
      <c r="N258" s="5"/>
      <c r="S258" s="4"/>
      <c r="T258" s="5"/>
      <c r="V258" s="5"/>
    </row>
    <row r="259" ht="15.75" customHeight="1">
      <c r="D259" s="3"/>
      <c r="M259" s="4"/>
      <c r="N259" s="5"/>
      <c r="S259" s="4"/>
      <c r="T259" s="5"/>
      <c r="V259" s="5"/>
    </row>
    <row r="260" ht="15.75" customHeight="1">
      <c r="D260" s="3"/>
      <c r="M260" s="4"/>
      <c r="N260" s="5"/>
      <c r="S260" s="4"/>
      <c r="T260" s="5"/>
      <c r="V260" s="5"/>
    </row>
    <row r="261" ht="15.75" customHeight="1">
      <c r="D261" s="3"/>
      <c r="M261" s="4"/>
      <c r="N261" s="5"/>
      <c r="S261" s="4"/>
      <c r="T261" s="5"/>
      <c r="V261" s="5"/>
    </row>
    <row r="262" ht="15.75" customHeight="1">
      <c r="D262" s="3"/>
      <c r="M262" s="4"/>
      <c r="N262" s="5"/>
      <c r="S262" s="4"/>
      <c r="T262" s="5"/>
      <c r="V262" s="5"/>
    </row>
    <row r="263" ht="15.75" customHeight="1">
      <c r="D263" s="3"/>
      <c r="M263" s="4"/>
      <c r="N263" s="5"/>
      <c r="S263" s="4"/>
      <c r="T263" s="5"/>
      <c r="V263" s="5"/>
    </row>
    <row r="264" ht="15.75" customHeight="1">
      <c r="D264" s="3"/>
      <c r="M264" s="4"/>
      <c r="N264" s="5"/>
      <c r="S264" s="4"/>
      <c r="T264" s="5"/>
      <c r="V264" s="5"/>
    </row>
    <row r="265" ht="15.75" customHeight="1">
      <c r="D265" s="3"/>
      <c r="M265" s="4"/>
      <c r="N265" s="5"/>
      <c r="S265" s="4"/>
      <c r="T265" s="5"/>
      <c r="V265" s="5"/>
    </row>
    <row r="266" ht="15.75" customHeight="1">
      <c r="D266" s="3"/>
      <c r="M266" s="4"/>
      <c r="N266" s="5"/>
      <c r="S266" s="4"/>
      <c r="T266" s="5"/>
      <c r="V266" s="5"/>
    </row>
    <row r="267" ht="15.75" customHeight="1">
      <c r="D267" s="3"/>
      <c r="M267" s="4"/>
      <c r="N267" s="5"/>
      <c r="S267" s="4"/>
      <c r="T267" s="5"/>
      <c r="V267" s="5"/>
    </row>
    <row r="268" ht="15.75" customHeight="1">
      <c r="D268" s="3"/>
      <c r="M268" s="4"/>
      <c r="N268" s="5"/>
      <c r="S268" s="4"/>
      <c r="T268" s="5"/>
      <c r="V268" s="5"/>
    </row>
    <row r="269" ht="15.75" customHeight="1">
      <c r="D269" s="3"/>
      <c r="M269" s="4"/>
      <c r="N269" s="5"/>
      <c r="S269" s="4"/>
      <c r="T269" s="5"/>
      <c r="V269" s="5"/>
    </row>
    <row r="270" ht="15.75" customHeight="1">
      <c r="D270" s="3"/>
      <c r="M270" s="4"/>
      <c r="N270" s="5"/>
      <c r="S270" s="4"/>
      <c r="T270" s="5"/>
      <c r="V270" s="5"/>
    </row>
    <row r="271" ht="15.75" customHeight="1">
      <c r="D271" s="3"/>
      <c r="M271" s="4"/>
      <c r="N271" s="5"/>
      <c r="S271" s="4"/>
      <c r="T271" s="5"/>
      <c r="V271" s="5"/>
    </row>
    <row r="272" ht="15.75" customHeight="1">
      <c r="D272" s="3"/>
      <c r="M272" s="4"/>
      <c r="N272" s="5"/>
      <c r="S272" s="4"/>
      <c r="T272" s="5"/>
      <c r="V272" s="5"/>
    </row>
    <row r="273" ht="15.75" customHeight="1">
      <c r="D273" s="3"/>
      <c r="M273" s="4"/>
      <c r="N273" s="5"/>
      <c r="S273" s="4"/>
      <c r="T273" s="5"/>
      <c r="V273" s="5"/>
    </row>
    <row r="274" ht="15.75" customHeight="1">
      <c r="D274" s="3"/>
      <c r="M274" s="4"/>
      <c r="N274" s="5"/>
      <c r="S274" s="4"/>
      <c r="T274" s="5"/>
      <c r="V274" s="5"/>
    </row>
    <row r="275" ht="15.75" customHeight="1">
      <c r="D275" s="3"/>
      <c r="M275" s="4"/>
      <c r="N275" s="5"/>
      <c r="S275" s="4"/>
      <c r="T275" s="5"/>
      <c r="V275" s="5"/>
    </row>
    <row r="276" ht="15.75" customHeight="1">
      <c r="D276" s="3"/>
      <c r="M276" s="4"/>
      <c r="N276" s="5"/>
      <c r="S276" s="4"/>
      <c r="T276" s="5"/>
      <c r="V276" s="5"/>
    </row>
    <row r="277" ht="15.75" customHeight="1">
      <c r="D277" s="3"/>
      <c r="M277" s="4"/>
      <c r="N277" s="5"/>
      <c r="S277" s="4"/>
      <c r="T277" s="5"/>
      <c r="V277" s="5"/>
    </row>
    <row r="278" ht="15.75" customHeight="1">
      <c r="D278" s="3"/>
      <c r="M278" s="4"/>
      <c r="N278" s="5"/>
      <c r="S278" s="4"/>
      <c r="T278" s="5"/>
      <c r="V278" s="5"/>
    </row>
    <row r="279" ht="15.75" customHeight="1">
      <c r="D279" s="3"/>
      <c r="M279" s="4"/>
      <c r="N279" s="5"/>
      <c r="S279" s="4"/>
      <c r="T279" s="5"/>
      <c r="V279" s="5"/>
    </row>
    <row r="280" ht="15.75" customHeight="1">
      <c r="D280" s="3"/>
      <c r="M280" s="4"/>
      <c r="N280" s="5"/>
      <c r="S280" s="4"/>
      <c r="T280" s="5"/>
      <c r="V280" s="5"/>
    </row>
    <row r="281" ht="15.75" customHeight="1">
      <c r="D281" s="3"/>
      <c r="M281" s="4"/>
      <c r="N281" s="5"/>
      <c r="S281" s="4"/>
      <c r="T281" s="5"/>
      <c r="V281" s="5"/>
    </row>
    <row r="282" ht="15.75" customHeight="1">
      <c r="D282" s="3"/>
      <c r="M282" s="4"/>
      <c r="N282" s="5"/>
      <c r="S282" s="4"/>
      <c r="T282" s="5"/>
      <c r="V282" s="5"/>
    </row>
    <row r="283" ht="15.75" customHeight="1">
      <c r="D283" s="3"/>
      <c r="M283" s="4"/>
      <c r="N283" s="5"/>
      <c r="S283" s="4"/>
      <c r="T283" s="5"/>
      <c r="V283" s="5"/>
    </row>
    <row r="284" ht="15.75" customHeight="1">
      <c r="D284" s="3"/>
      <c r="M284" s="4"/>
      <c r="N284" s="5"/>
      <c r="S284" s="4"/>
      <c r="T284" s="5"/>
      <c r="V284" s="5"/>
    </row>
    <row r="285" ht="15.75" customHeight="1">
      <c r="D285" s="3"/>
      <c r="M285" s="4"/>
      <c r="N285" s="5"/>
      <c r="S285" s="4"/>
      <c r="T285" s="5"/>
      <c r="V285" s="5"/>
    </row>
    <row r="286" ht="15.75" customHeight="1">
      <c r="D286" s="3"/>
      <c r="M286" s="4"/>
      <c r="N286" s="5"/>
      <c r="S286" s="4"/>
      <c r="T286" s="5"/>
      <c r="V286" s="5"/>
    </row>
    <row r="287" ht="15.75" customHeight="1">
      <c r="D287" s="3"/>
      <c r="M287" s="4"/>
      <c r="N287" s="5"/>
      <c r="S287" s="4"/>
      <c r="T287" s="5"/>
      <c r="V287" s="5"/>
    </row>
    <row r="288" ht="15.75" customHeight="1">
      <c r="D288" s="3"/>
      <c r="M288" s="4"/>
      <c r="N288" s="5"/>
      <c r="S288" s="4"/>
      <c r="T288" s="5"/>
      <c r="V288" s="5"/>
    </row>
    <row r="289" ht="15.75" customHeight="1">
      <c r="D289" s="3"/>
      <c r="M289" s="4"/>
      <c r="N289" s="5"/>
      <c r="S289" s="4"/>
      <c r="T289" s="5"/>
      <c r="V289" s="5"/>
    </row>
    <row r="290" ht="15.75" customHeight="1">
      <c r="D290" s="3"/>
      <c r="M290" s="4"/>
      <c r="N290" s="5"/>
      <c r="S290" s="4"/>
      <c r="T290" s="5"/>
      <c r="V290" s="5"/>
    </row>
    <row r="291" ht="15.75" customHeight="1">
      <c r="D291" s="3"/>
      <c r="M291" s="4"/>
      <c r="N291" s="5"/>
      <c r="S291" s="4"/>
      <c r="T291" s="5"/>
      <c r="V291" s="5"/>
    </row>
    <row r="292" ht="15.75" customHeight="1">
      <c r="D292" s="3"/>
      <c r="M292" s="4"/>
      <c r="N292" s="5"/>
      <c r="S292" s="4"/>
      <c r="T292" s="5"/>
      <c r="V292" s="5"/>
    </row>
    <row r="293" ht="15.75" customHeight="1">
      <c r="D293" s="3"/>
      <c r="M293" s="4"/>
      <c r="N293" s="5"/>
      <c r="S293" s="4"/>
      <c r="T293" s="5"/>
      <c r="V293" s="5"/>
    </row>
    <row r="294" ht="15.75" customHeight="1">
      <c r="D294" s="3"/>
      <c r="M294" s="4"/>
      <c r="N294" s="5"/>
      <c r="S294" s="4"/>
      <c r="T294" s="5"/>
      <c r="V294" s="5"/>
    </row>
    <row r="295" ht="15.75" customHeight="1">
      <c r="D295" s="3"/>
      <c r="M295" s="4"/>
      <c r="N295" s="5"/>
      <c r="S295" s="4"/>
      <c r="T295" s="5"/>
      <c r="V295" s="5"/>
    </row>
    <row r="296" ht="15.75" customHeight="1">
      <c r="D296" s="3"/>
      <c r="M296" s="4"/>
      <c r="N296" s="5"/>
      <c r="S296" s="4"/>
      <c r="T296" s="5"/>
      <c r="V296" s="5"/>
    </row>
    <row r="297" ht="15.75" customHeight="1">
      <c r="D297" s="3"/>
      <c r="M297" s="4"/>
      <c r="N297" s="5"/>
      <c r="S297" s="4"/>
      <c r="T297" s="5"/>
      <c r="V297" s="5"/>
    </row>
    <row r="298" ht="15.75" customHeight="1">
      <c r="D298" s="3"/>
      <c r="M298" s="4"/>
      <c r="N298" s="5"/>
      <c r="S298" s="4"/>
      <c r="T298" s="5"/>
      <c r="V298" s="5"/>
    </row>
    <row r="299" ht="15.75" customHeight="1">
      <c r="D299" s="3"/>
      <c r="M299" s="4"/>
      <c r="N299" s="5"/>
      <c r="S299" s="4"/>
      <c r="T299" s="5"/>
      <c r="V299" s="5"/>
    </row>
    <row r="300" ht="15.75" customHeight="1">
      <c r="D300" s="3"/>
      <c r="M300" s="4"/>
      <c r="N300" s="5"/>
      <c r="S300" s="4"/>
      <c r="T300" s="5"/>
      <c r="V300" s="5"/>
    </row>
    <row r="301" ht="15.75" customHeight="1">
      <c r="D301" s="3"/>
      <c r="M301" s="4"/>
      <c r="N301" s="5"/>
      <c r="S301" s="4"/>
      <c r="T301" s="5"/>
      <c r="V301" s="5"/>
    </row>
    <row r="302" ht="15.75" customHeight="1">
      <c r="D302" s="3"/>
      <c r="M302" s="4"/>
      <c r="N302" s="5"/>
      <c r="S302" s="4"/>
      <c r="T302" s="5"/>
      <c r="V302" s="5"/>
    </row>
    <row r="303" ht="15.75" customHeight="1">
      <c r="D303" s="3"/>
      <c r="M303" s="4"/>
      <c r="N303" s="5"/>
      <c r="S303" s="4"/>
      <c r="T303" s="5"/>
      <c r="V303" s="5"/>
    </row>
    <row r="304" ht="15.75" customHeight="1">
      <c r="D304" s="3"/>
      <c r="M304" s="4"/>
      <c r="N304" s="5"/>
      <c r="S304" s="4"/>
      <c r="T304" s="5"/>
      <c r="V304" s="5"/>
    </row>
    <row r="305" ht="15.75" customHeight="1">
      <c r="D305" s="3"/>
      <c r="M305" s="4"/>
      <c r="N305" s="5"/>
      <c r="S305" s="4"/>
      <c r="T305" s="5"/>
      <c r="V305" s="5"/>
    </row>
    <row r="306" ht="15.75" customHeight="1">
      <c r="D306" s="3"/>
      <c r="M306" s="4"/>
      <c r="N306" s="5"/>
      <c r="S306" s="4"/>
      <c r="T306" s="5"/>
      <c r="V306" s="5"/>
    </row>
    <row r="307" ht="15.75" customHeight="1">
      <c r="D307" s="3"/>
      <c r="M307" s="4"/>
      <c r="N307" s="5"/>
      <c r="S307" s="4"/>
      <c r="T307" s="5"/>
      <c r="V307" s="5"/>
    </row>
    <row r="308" ht="15.75" customHeight="1">
      <c r="D308" s="3"/>
      <c r="M308" s="4"/>
      <c r="N308" s="5"/>
      <c r="S308" s="4"/>
      <c r="T308" s="5"/>
      <c r="V308" s="5"/>
    </row>
    <row r="309" ht="15.75" customHeight="1">
      <c r="D309" s="3"/>
      <c r="M309" s="4"/>
      <c r="N309" s="5"/>
      <c r="S309" s="4"/>
      <c r="T309" s="5"/>
      <c r="V309" s="5"/>
    </row>
    <row r="310" ht="15.75" customHeight="1">
      <c r="D310" s="3"/>
      <c r="M310" s="4"/>
      <c r="N310" s="5"/>
      <c r="S310" s="4"/>
      <c r="T310" s="5"/>
      <c r="V310" s="5"/>
    </row>
    <row r="311" ht="15.75" customHeight="1">
      <c r="D311" s="3"/>
      <c r="M311" s="4"/>
      <c r="N311" s="5"/>
      <c r="S311" s="4"/>
      <c r="T311" s="5"/>
      <c r="V311" s="5"/>
    </row>
    <row r="312" ht="15.75" customHeight="1">
      <c r="D312" s="3"/>
      <c r="M312" s="4"/>
      <c r="N312" s="5"/>
      <c r="S312" s="4"/>
      <c r="T312" s="5"/>
      <c r="V312" s="5"/>
    </row>
    <row r="313" ht="15.75" customHeight="1">
      <c r="D313" s="3"/>
      <c r="M313" s="4"/>
      <c r="N313" s="5"/>
      <c r="S313" s="4"/>
      <c r="T313" s="5"/>
      <c r="V313" s="5"/>
    </row>
    <row r="314" ht="15.75" customHeight="1">
      <c r="D314" s="3"/>
      <c r="M314" s="4"/>
      <c r="N314" s="5"/>
      <c r="S314" s="4"/>
      <c r="T314" s="5"/>
      <c r="V314" s="5"/>
    </row>
    <row r="315" ht="15.75" customHeight="1">
      <c r="D315" s="3"/>
      <c r="M315" s="4"/>
      <c r="N315" s="5"/>
      <c r="S315" s="4"/>
      <c r="T315" s="5"/>
      <c r="V315" s="5"/>
    </row>
    <row r="316" ht="15.75" customHeight="1">
      <c r="D316" s="3"/>
      <c r="M316" s="4"/>
      <c r="N316" s="5"/>
      <c r="S316" s="4"/>
      <c r="T316" s="5"/>
      <c r="V316" s="5"/>
    </row>
    <row r="317" ht="15.75" customHeight="1">
      <c r="D317" s="3"/>
      <c r="M317" s="4"/>
      <c r="N317" s="5"/>
      <c r="S317" s="4"/>
      <c r="T317" s="5"/>
      <c r="V317" s="5"/>
    </row>
    <row r="318" ht="15.75" customHeight="1">
      <c r="D318" s="3"/>
      <c r="M318" s="4"/>
      <c r="N318" s="5"/>
      <c r="S318" s="4"/>
      <c r="T318" s="5"/>
      <c r="V318" s="5"/>
    </row>
    <row r="319" ht="15.75" customHeight="1">
      <c r="D319" s="3"/>
      <c r="M319" s="4"/>
      <c r="N319" s="5"/>
      <c r="S319" s="4"/>
      <c r="T319" s="5"/>
      <c r="V319" s="5"/>
    </row>
    <row r="320" ht="15.75" customHeight="1">
      <c r="D320" s="3"/>
      <c r="M320" s="4"/>
      <c r="N320" s="5"/>
      <c r="S320" s="4"/>
      <c r="T320" s="5"/>
      <c r="V320" s="5"/>
    </row>
    <row r="321" ht="15.75" customHeight="1">
      <c r="D321" s="3"/>
      <c r="M321" s="4"/>
      <c r="N321" s="5"/>
      <c r="S321" s="4"/>
      <c r="T321" s="5"/>
      <c r="V321" s="5"/>
    </row>
    <row r="322" ht="15.75" customHeight="1">
      <c r="D322" s="3"/>
      <c r="M322" s="4"/>
      <c r="N322" s="5"/>
      <c r="S322" s="4"/>
      <c r="T322" s="5"/>
      <c r="V322" s="5"/>
    </row>
    <row r="323" ht="15.75" customHeight="1">
      <c r="D323" s="3"/>
      <c r="M323" s="4"/>
      <c r="N323" s="5"/>
      <c r="S323" s="4"/>
      <c r="T323" s="5"/>
      <c r="V323" s="5"/>
    </row>
    <row r="324" ht="15.75" customHeight="1">
      <c r="D324" s="3"/>
      <c r="M324" s="4"/>
      <c r="N324" s="5"/>
      <c r="S324" s="4"/>
      <c r="T324" s="5"/>
      <c r="V324" s="5"/>
    </row>
    <row r="325" ht="15.75" customHeight="1">
      <c r="D325" s="3"/>
      <c r="M325" s="4"/>
      <c r="N325" s="5"/>
      <c r="S325" s="4"/>
      <c r="T325" s="5"/>
      <c r="V325" s="5"/>
    </row>
    <row r="326" ht="15.75" customHeight="1">
      <c r="D326" s="3"/>
      <c r="M326" s="4"/>
      <c r="N326" s="5"/>
      <c r="S326" s="4"/>
      <c r="T326" s="5"/>
      <c r="V326" s="5"/>
    </row>
    <row r="327" ht="15.75" customHeight="1">
      <c r="D327" s="3"/>
      <c r="M327" s="4"/>
      <c r="N327" s="5"/>
      <c r="S327" s="4"/>
      <c r="T327" s="5"/>
      <c r="V327" s="5"/>
    </row>
    <row r="328" ht="15.75" customHeight="1">
      <c r="D328" s="3"/>
      <c r="M328" s="4"/>
      <c r="N328" s="5"/>
      <c r="S328" s="4"/>
      <c r="T328" s="5"/>
      <c r="V328" s="5"/>
    </row>
    <row r="329" ht="15.75" customHeight="1">
      <c r="D329" s="3"/>
      <c r="M329" s="4"/>
      <c r="N329" s="5"/>
      <c r="S329" s="4"/>
      <c r="T329" s="5"/>
      <c r="V329" s="5"/>
    </row>
    <row r="330" ht="15.75" customHeight="1">
      <c r="D330" s="3"/>
      <c r="M330" s="4"/>
      <c r="N330" s="5"/>
      <c r="S330" s="4"/>
      <c r="T330" s="5"/>
      <c r="V330" s="5"/>
    </row>
    <row r="331" ht="15.75" customHeight="1">
      <c r="D331" s="3"/>
      <c r="M331" s="4"/>
      <c r="N331" s="5"/>
      <c r="S331" s="4"/>
      <c r="T331" s="5"/>
      <c r="V331" s="5"/>
    </row>
    <row r="332" ht="15.75" customHeight="1">
      <c r="D332" s="3"/>
      <c r="M332" s="4"/>
      <c r="N332" s="5"/>
      <c r="S332" s="4"/>
      <c r="T332" s="5"/>
      <c r="V332" s="5"/>
    </row>
    <row r="333" ht="15.75" customHeight="1">
      <c r="D333" s="3"/>
      <c r="M333" s="4"/>
      <c r="N333" s="5"/>
      <c r="S333" s="4"/>
      <c r="T333" s="5"/>
      <c r="V333" s="5"/>
    </row>
    <row r="334" ht="15.75" customHeight="1">
      <c r="D334" s="3"/>
      <c r="M334" s="4"/>
      <c r="N334" s="5"/>
      <c r="S334" s="4"/>
      <c r="T334" s="5"/>
      <c r="V334" s="5"/>
    </row>
    <row r="335" ht="15.75" customHeight="1">
      <c r="D335" s="3"/>
      <c r="M335" s="4"/>
      <c r="N335" s="5"/>
      <c r="S335" s="4"/>
      <c r="T335" s="5"/>
      <c r="V335" s="5"/>
    </row>
    <row r="336" ht="15.75" customHeight="1">
      <c r="D336" s="3"/>
      <c r="M336" s="4"/>
      <c r="N336" s="5"/>
      <c r="S336" s="4"/>
      <c r="T336" s="5"/>
      <c r="V336" s="5"/>
    </row>
    <row r="337" ht="15.75" customHeight="1">
      <c r="D337" s="3"/>
      <c r="M337" s="4"/>
      <c r="N337" s="5"/>
      <c r="S337" s="4"/>
      <c r="T337" s="5"/>
      <c r="V337" s="5"/>
    </row>
    <row r="338" ht="15.75" customHeight="1">
      <c r="D338" s="3"/>
      <c r="M338" s="4"/>
      <c r="N338" s="5"/>
      <c r="S338" s="4"/>
      <c r="T338" s="5"/>
      <c r="V338" s="5"/>
    </row>
    <row r="339" ht="15.75" customHeight="1">
      <c r="D339" s="3"/>
      <c r="M339" s="4"/>
      <c r="N339" s="5"/>
      <c r="S339" s="4"/>
      <c r="T339" s="5"/>
      <c r="V339" s="5"/>
    </row>
    <row r="340" ht="15.75" customHeight="1">
      <c r="D340" s="3"/>
      <c r="M340" s="4"/>
      <c r="N340" s="5"/>
      <c r="S340" s="4"/>
      <c r="T340" s="5"/>
      <c r="V340" s="5"/>
    </row>
    <row r="341" ht="15.75" customHeight="1">
      <c r="D341" s="3"/>
      <c r="M341" s="4"/>
      <c r="N341" s="5"/>
      <c r="S341" s="4"/>
      <c r="T341" s="5"/>
      <c r="V341" s="5"/>
    </row>
    <row r="342" ht="15.75" customHeight="1">
      <c r="D342" s="3"/>
      <c r="M342" s="4"/>
      <c r="N342" s="5"/>
      <c r="S342" s="4"/>
      <c r="T342" s="5"/>
      <c r="V342" s="5"/>
    </row>
    <row r="343" ht="15.75" customHeight="1">
      <c r="D343" s="3"/>
      <c r="M343" s="4"/>
      <c r="N343" s="5"/>
      <c r="S343" s="4"/>
      <c r="T343" s="5"/>
      <c r="V343" s="5"/>
    </row>
    <row r="344" ht="15.75" customHeight="1">
      <c r="D344" s="3"/>
      <c r="M344" s="4"/>
      <c r="N344" s="5"/>
      <c r="S344" s="4"/>
      <c r="T344" s="5"/>
      <c r="V344" s="5"/>
    </row>
    <row r="345" ht="15.75" customHeight="1">
      <c r="D345" s="3"/>
      <c r="M345" s="4"/>
      <c r="N345" s="5"/>
      <c r="S345" s="4"/>
      <c r="T345" s="5"/>
      <c r="V345" s="5"/>
    </row>
    <row r="346" ht="15.75" customHeight="1">
      <c r="D346" s="3"/>
      <c r="M346" s="4"/>
      <c r="N346" s="5"/>
      <c r="S346" s="4"/>
      <c r="T346" s="5"/>
      <c r="V346" s="5"/>
    </row>
    <row r="347" ht="15.75" customHeight="1">
      <c r="D347" s="3"/>
      <c r="M347" s="4"/>
      <c r="N347" s="5"/>
      <c r="S347" s="4"/>
      <c r="T347" s="5"/>
      <c r="V347" s="5"/>
    </row>
    <row r="348" ht="15.75" customHeight="1">
      <c r="D348" s="3"/>
      <c r="M348" s="4"/>
      <c r="N348" s="5"/>
      <c r="S348" s="4"/>
      <c r="T348" s="5"/>
      <c r="V348" s="5"/>
    </row>
    <row r="349" ht="15.75" customHeight="1">
      <c r="D349" s="3"/>
      <c r="M349" s="4"/>
      <c r="N349" s="5"/>
      <c r="S349" s="4"/>
      <c r="T349" s="5"/>
      <c r="V349" s="5"/>
    </row>
    <row r="350" ht="15.75" customHeight="1">
      <c r="D350" s="3"/>
      <c r="M350" s="4"/>
      <c r="N350" s="5"/>
      <c r="S350" s="4"/>
      <c r="T350" s="5"/>
      <c r="V350" s="5"/>
    </row>
    <row r="351" ht="15.75" customHeight="1">
      <c r="D351" s="3"/>
      <c r="M351" s="4"/>
      <c r="N351" s="5"/>
      <c r="S351" s="4"/>
      <c r="T351" s="5"/>
      <c r="V351" s="5"/>
    </row>
    <row r="352" ht="15.75" customHeight="1">
      <c r="D352" s="3"/>
      <c r="M352" s="4"/>
      <c r="N352" s="5"/>
      <c r="S352" s="4"/>
      <c r="T352" s="5"/>
      <c r="V352" s="5"/>
    </row>
    <row r="353" ht="15.75" customHeight="1">
      <c r="D353" s="3"/>
      <c r="M353" s="4"/>
      <c r="N353" s="5"/>
      <c r="S353" s="4"/>
      <c r="T353" s="5"/>
      <c r="V353" s="5"/>
    </row>
    <row r="354" ht="15.75" customHeight="1">
      <c r="D354" s="3"/>
      <c r="M354" s="4"/>
      <c r="N354" s="5"/>
      <c r="S354" s="4"/>
      <c r="T354" s="5"/>
      <c r="V354" s="5"/>
    </row>
    <row r="355" ht="15.75" customHeight="1">
      <c r="D355" s="3"/>
      <c r="M355" s="4"/>
      <c r="N355" s="5"/>
      <c r="S355" s="4"/>
      <c r="T355" s="5"/>
      <c r="V355" s="5"/>
    </row>
    <row r="356" ht="15.75" customHeight="1">
      <c r="D356" s="3"/>
      <c r="M356" s="4"/>
      <c r="N356" s="5"/>
      <c r="S356" s="4"/>
      <c r="T356" s="5"/>
      <c r="V356" s="5"/>
    </row>
    <row r="357" ht="15.75" customHeight="1">
      <c r="D357" s="3"/>
      <c r="M357" s="4"/>
      <c r="N357" s="5"/>
      <c r="S357" s="4"/>
      <c r="T357" s="5"/>
      <c r="V357" s="5"/>
    </row>
    <row r="358" ht="15.75" customHeight="1">
      <c r="D358" s="3"/>
      <c r="M358" s="4"/>
      <c r="N358" s="5"/>
      <c r="S358" s="4"/>
      <c r="T358" s="5"/>
      <c r="V358" s="5"/>
    </row>
    <row r="359" ht="15.75" customHeight="1">
      <c r="D359" s="3"/>
      <c r="M359" s="4"/>
      <c r="N359" s="5"/>
      <c r="S359" s="4"/>
      <c r="T359" s="5"/>
      <c r="V359" s="5"/>
    </row>
    <row r="360" ht="15.75" customHeight="1">
      <c r="D360" s="3"/>
      <c r="M360" s="4"/>
      <c r="N360" s="5"/>
      <c r="S360" s="4"/>
      <c r="T360" s="5"/>
      <c r="V360" s="5"/>
    </row>
    <row r="361" ht="15.75" customHeight="1">
      <c r="D361" s="3"/>
      <c r="M361" s="4"/>
      <c r="N361" s="5"/>
      <c r="S361" s="4"/>
      <c r="T361" s="5"/>
      <c r="V361" s="5"/>
    </row>
    <row r="362" ht="15.75" customHeight="1">
      <c r="D362" s="3"/>
      <c r="M362" s="4"/>
      <c r="N362" s="5"/>
      <c r="S362" s="4"/>
      <c r="T362" s="5"/>
      <c r="V362" s="5"/>
    </row>
    <row r="363" ht="15.75" customHeight="1">
      <c r="D363" s="3"/>
      <c r="M363" s="4"/>
      <c r="N363" s="5"/>
      <c r="S363" s="4"/>
      <c r="T363" s="5"/>
      <c r="V363" s="5"/>
    </row>
    <row r="364" ht="15.75" customHeight="1">
      <c r="D364" s="3"/>
      <c r="M364" s="4"/>
      <c r="N364" s="5"/>
      <c r="S364" s="4"/>
      <c r="T364" s="5"/>
      <c r="V364" s="5"/>
    </row>
    <row r="365" ht="15.75" customHeight="1">
      <c r="D365" s="3"/>
      <c r="M365" s="4"/>
      <c r="N365" s="5"/>
      <c r="S365" s="4"/>
      <c r="T365" s="5"/>
      <c r="V365" s="5"/>
    </row>
    <row r="366" ht="15.75" customHeight="1">
      <c r="D366" s="3"/>
      <c r="M366" s="4"/>
      <c r="N366" s="5"/>
      <c r="S366" s="4"/>
      <c r="T366" s="5"/>
      <c r="V366" s="5"/>
    </row>
    <row r="367" ht="15.75" customHeight="1">
      <c r="D367" s="3"/>
      <c r="M367" s="4"/>
      <c r="N367" s="5"/>
      <c r="S367" s="4"/>
      <c r="T367" s="5"/>
      <c r="V367" s="5"/>
    </row>
    <row r="368" ht="15.75" customHeight="1">
      <c r="D368" s="3"/>
      <c r="M368" s="4"/>
      <c r="N368" s="5"/>
      <c r="S368" s="4"/>
      <c r="T368" s="5"/>
      <c r="V368" s="5"/>
    </row>
    <row r="369" ht="15.75" customHeight="1">
      <c r="D369" s="3"/>
      <c r="M369" s="4"/>
      <c r="N369" s="5"/>
      <c r="S369" s="4"/>
      <c r="T369" s="5"/>
      <c r="V369" s="5"/>
    </row>
    <row r="370" ht="15.75" customHeight="1">
      <c r="D370" s="3"/>
      <c r="M370" s="4"/>
      <c r="N370" s="5"/>
      <c r="S370" s="4"/>
      <c r="T370" s="5"/>
      <c r="V370" s="5"/>
    </row>
    <row r="371" ht="15.75" customHeight="1">
      <c r="D371" s="3"/>
      <c r="M371" s="4"/>
      <c r="N371" s="5"/>
      <c r="S371" s="4"/>
      <c r="T371" s="5"/>
      <c r="V371" s="5"/>
    </row>
    <row r="372" ht="15.75" customHeight="1">
      <c r="D372" s="3"/>
      <c r="M372" s="4"/>
      <c r="N372" s="5"/>
      <c r="S372" s="4"/>
      <c r="T372" s="5"/>
      <c r="V372" s="5"/>
    </row>
    <row r="373" ht="15.75" customHeight="1">
      <c r="D373" s="3"/>
      <c r="M373" s="4"/>
      <c r="N373" s="5"/>
      <c r="S373" s="4"/>
      <c r="T373" s="5"/>
      <c r="V373" s="5"/>
    </row>
    <row r="374" ht="15.75" customHeight="1">
      <c r="D374" s="3"/>
      <c r="M374" s="4"/>
      <c r="N374" s="5"/>
      <c r="S374" s="4"/>
      <c r="T374" s="5"/>
      <c r="V374" s="5"/>
    </row>
    <row r="375" ht="15.75" customHeight="1">
      <c r="D375" s="3"/>
      <c r="M375" s="4"/>
      <c r="N375" s="5"/>
      <c r="S375" s="4"/>
      <c r="T375" s="5"/>
      <c r="V375" s="5"/>
    </row>
    <row r="376" ht="15.75" customHeight="1">
      <c r="D376" s="3"/>
      <c r="M376" s="4"/>
      <c r="N376" s="5"/>
      <c r="S376" s="4"/>
      <c r="T376" s="5"/>
      <c r="V376" s="5"/>
    </row>
    <row r="377" ht="15.75" customHeight="1">
      <c r="D377" s="3"/>
      <c r="M377" s="4"/>
      <c r="N377" s="5"/>
      <c r="S377" s="4"/>
      <c r="T377" s="5"/>
      <c r="V377" s="5"/>
    </row>
    <row r="378" ht="15.75" customHeight="1">
      <c r="D378" s="3"/>
      <c r="M378" s="4"/>
      <c r="N378" s="5"/>
      <c r="S378" s="4"/>
      <c r="T378" s="5"/>
      <c r="V378" s="5"/>
    </row>
    <row r="379" ht="15.75" customHeight="1">
      <c r="D379" s="3"/>
      <c r="M379" s="4"/>
      <c r="N379" s="5"/>
      <c r="S379" s="4"/>
      <c r="T379" s="5"/>
      <c r="V379" s="5"/>
    </row>
    <row r="380" ht="15.75" customHeight="1">
      <c r="D380" s="3"/>
      <c r="M380" s="4"/>
      <c r="N380" s="5"/>
      <c r="S380" s="4"/>
      <c r="T380" s="5"/>
      <c r="V380" s="5"/>
    </row>
    <row r="381" ht="15.75" customHeight="1">
      <c r="D381" s="3"/>
      <c r="M381" s="4"/>
      <c r="N381" s="5"/>
      <c r="S381" s="4"/>
      <c r="T381" s="5"/>
      <c r="V381" s="5"/>
    </row>
    <row r="382" ht="15.75" customHeight="1">
      <c r="D382" s="3"/>
      <c r="M382" s="4"/>
      <c r="N382" s="5"/>
      <c r="S382" s="4"/>
      <c r="T382" s="5"/>
      <c r="V382" s="5"/>
    </row>
    <row r="383" ht="15.75" customHeight="1">
      <c r="D383" s="3"/>
      <c r="M383" s="4"/>
      <c r="N383" s="5"/>
      <c r="S383" s="4"/>
      <c r="T383" s="5"/>
      <c r="V383" s="5"/>
    </row>
    <row r="384" ht="15.75" customHeight="1">
      <c r="D384" s="3"/>
      <c r="M384" s="4"/>
      <c r="N384" s="5"/>
      <c r="S384" s="4"/>
      <c r="T384" s="5"/>
      <c r="V384" s="5"/>
    </row>
    <row r="385" ht="15.75" customHeight="1">
      <c r="D385" s="3"/>
      <c r="M385" s="4"/>
      <c r="N385" s="5"/>
      <c r="S385" s="4"/>
      <c r="T385" s="5"/>
      <c r="V385" s="5"/>
    </row>
    <row r="386" ht="15.75" customHeight="1">
      <c r="D386" s="3"/>
      <c r="M386" s="4"/>
      <c r="N386" s="5"/>
      <c r="S386" s="4"/>
      <c r="T386" s="5"/>
      <c r="V386" s="5"/>
    </row>
    <row r="387" ht="15.75" customHeight="1">
      <c r="D387" s="3"/>
      <c r="M387" s="4"/>
      <c r="N387" s="5"/>
      <c r="S387" s="4"/>
      <c r="T387" s="5"/>
      <c r="V387" s="5"/>
    </row>
    <row r="388" ht="15.75" customHeight="1">
      <c r="D388" s="3"/>
      <c r="M388" s="4"/>
      <c r="N388" s="5"/>
      <c r="S388" s="4"/>
      <c r="T388" s="5"/>
      <c r="V388" s="5"/>
    </row>
    <row r="389" ht="15.75" customHeight="1">
      <c r="D389" s="3"/>
      <c r="M389" s="4"/>
      <c r="N389" s="5"/>
      <c r="S389" s="4"/>
      <c r="T389" s="5"/>
      <c r="V389" s="5"/>
    </row>
    <row r="390" ht="15.75" customHeight="1">
      <c r="D390" s="3"/>
      <c r="M390" s="4"/>
      <c r="N390" s="5"/>
      <c r="S390" s="4"/>
      <c r="T390" s="5"/>
      <c r="V390" s="5"/>
    </row>
    <row r="391" ht="15.75" customHeight="1">
      <c r="D391" s="3"/>
      <c r="M391" s="4"/>
      <c r="N391" s="5"/>
      <c r="S391" s="4"/>
      <c r="T391" s="5"/>
      <c r="V391" s="5"/>
    </row>
    <row r="392" ht="15.75" customHeight="1">
      <c r="D392" s="3"/>
      <c r="M392" s="4"/>
      <c r="N392" s="5"/>
      <c r="S392" s="4"/>
      <c r="T392" s="5"/>
      <c r="V392" s="5"/>
    </row>
    <row r="393" ht="15.75" customHeight="1">
      <c r="D393" s="3"/>
      <c r="M393" s="4"/>
      <c r="N393" s="5"/>
      <c r="S393" s="4"/>
      <c r="T393" s="5"/>
      <c r="V393" s="5"/>
    </row>
    <row r="394" ht="15.75" customHeight="1">
      <c r="D394" s="3"/>
      <c r="M394" s="4"/>
      <c r="N394" s="5"/>
      <c r="S394" s="4"/>
      <c r="T394" s="5"/>
      <c r="V394" s="5"/>
    </row>
    <row r="395" ht="15.75" customHeight="1">
      <c r="D395" s="3"/>
      <c r="M395" s="4"/>
      <c r="N395" s="5"/>
      <c r="S395" s="4"/>
      <c r="T395" s="5"/>
      <c r="V395" s="5"/>
    </row>
    <row r="396" ht="15.75" customHeight="1">
      <c r="D396" s="3"/>
      <c r="M396" s="4"/>
      <c r="N396" s="5"/>
      <c r="S396" s="4"/>
      <c r="T396" s="5"/>
      <c r="V396" s="5"/>
    </row>
    <row r="397" ht="15.75" customHeight="1">
      <c r="D397" s="3"/>
      <c r="M397" s="4"/>
      <c r="N397" s="5"/>
      <c r="S397" s="4"/>
      <c r="T397" s="5"/>
      <c r="V397" s="5"/>
    </row>
    <row r="398" ht="15.75" customHeight="1">
      <c r="D398" s="3"/>
      <c r="M398" s="4"/>
      <c r="N398" s="5"/>
      <c r="S398" s="4"/>
      <c r="T398" s="5"/>
      <c r="V398" s="5"/>
    </row>
    <row r="399" ht="15.75" customHeight="1">
      <c r="D399" s="3"/>
      <c r="M399" s="4"/>
      <c r="N399" s="5"/>
      <c r="S399" s="4"/>
      <c r="T399" s="5"/>
      <c r="V399" s="5"/>
    </row>
    <row r="400" ht="15.75" customHeight="1">
      <c r="D400" s="3"/>
      <c r="M400" s="4"/>
      <c r="N400" s="5"/>
      <c r="S400" s="4"/>
      <c r="T400" s="5"/>
      <c r="V400" s="5"/>
    </row>
    <row r="401" ht="15.75" customHeight="1">
      <c r="D401" s="3"/>
      <c r="M401" s="4"/>
      <c r="N401" s="5"/>
      <c r="S401" s="4"/>
      <c r="T401" s="5"/>
      <c r="V401" s="5"/>
    </row>
    <row r="402" ht="15.75" customHeight="1">
      <c r="D402" s="3"/>
      <c r="M402" s="4"/>
      <c r="N402" s="5"/>
      <c r="S402" s="4"/>
      <c r="T402" s="5"/>
      <c r="V402" s="5"/>
    </row>
    <row r="403" ht="15.75" customHeight="1">
      <c r="D403" s="3"/>
      <c r="M403" s="4"/>
      <c r="N403" s="5"/>
      <c r="S403" s="4"/>
      <c r="T403" s="5"/>
      <c r="V403" s="5"/>
    </row>
    <row r="404" ht="15.75" customHeight="1">
      <c r="D404" s="3"/>
      <c r="M404" s="4"/>
      <c r="N404" s="5"/>
      <c r="S404" s="4"/>
      <c r="T404" s="5"/>
      <c r="V404" s="5"/>
    </row>
    <row r="405" ht="15.75" customHeight="1">
      <c r="D405" s="3"/>
      <c r="M405" s="4"/>
      <c r="N405" s="5"/>
      <c r="S405" s="4"/>
      <c r="T405" s="5"/>
      <c r="V405" s="5"/>
    </row>
    <row r="406" ht="15.75" customHeight="1">
      <c r="D406" s="3"/>
      <c r="M406" s="4"/>
      <c r="N406" s="5"/>
      <c r="S406" s="4"/>
      <c r="T406" s="5"/>
      <c r="V406" s="5"/>
    </row>
    <row r="407" ht="15.75" customHeight="1">
      <c r="D407" s="3"/>
      <c r="M407" s="4"/>
      <c r="N407" s="5"/>
      <c r="S407" s="4"/>
      <c r="T407" s="5"/>
      <c r="V407" s="5"/>
    </row>
    <row r="408" ht="15.75" customHeight="1">
      <c r="D408" s="3"/>
      <c r="M408" s="4"/>
      <c r="N408" s="5"/>
      <c r="S408" s="4"/>
      <c r="T408" s="5"/>
      <c r="V408" s="5"/>
    </row>
    <row r="409" ht="15.75" customHeight="1">
      <c r="D409" s="3"/>
      <c r="M409" s="4"/>
      <c r="N409" s="5"/>
      <c r="S409" s="4"/>
      <c r="T409" s="5"/>
      <c r="V409" s="5"/>
    </row>
    <row r="410" ht="15.75" customHeight="1">
      <c r="D410" s="3"/>
      <c r="M410" s="4"/>
      <c r="N410" s="5"/>
      <c r="S410" s="4"/>
      <c r="T410" s="5"/>
      <c r="V410" s="5"/>
    </row>
    <row r="411" ht="15.75" customHeight="1">
      <c r="D411" s="3"/>
      <c r="M411" s="4"/>
      <c r="N411" s="5"/>
      <c r="S411" s="4"/>
      <c r="T411" s="5"/>
      <c r="V411" s="5"/>
    </row>
    <row r="412" ht="15.75" customHeight="1">
      <c r="D412" s="3"/>
      <c r="M412" s="4"/>
      <c r="N412" s="5"/>
      <c r="S412" s="4"/>
      <c r="T412" s="5"/>
      <c r="V412" s="5"/>
    </row>
    <row r="413" ht="15.75" customHeight="1">
      <c r="D413" s="3"/>
      <c r="M413" s="4"/>
      <c r="N413" s="5"/>
      <c r="S413" s="4"/>
      <c r="T413" s="5"/>
      <c r="V413" s="5"/>
    </row>
    <row r="414" ht="15.75" customHeight="1">
      <c r="D414" s="3"/>
      <c r="M414" s="4"/>
      <c r="N414" s="5"/>
      <c r="S414" s="4"/>
      <c r="T414" s="5"/>
      <c r="V414" s="5"/>
    </row>
    <row r="415" ht="15.75" customHeight="1">
      <c r="D415" s="3"/>
      <c r="M415" s="4"/>
      <c r="N415" s="5"/>
      <c r="S415" s="4"/>
      <c r="T415" s="5"/>
      <c r="V415" s="5"/>
    </row>
    <row r="416" ht="15.75" customHeight="1">
      <c r="D416" s="3"/>
      <c r="M416" s="4"/>
      <c r="N416" s="5"/>
      <c r="S416" s="4"/>
      <c r="T416" s="5"/>
      <c r="V416" s="5"/>
    </row>
    <row r="417" ht="15.75" customHeight="1">
      <c r="D417" s="3"/>
      <c r="M417" s="4"/>
      <c r="N417" s="5"/>
      <c r="S417" s="4"/>
      <c r="T417" s="5"/>
      <c r="V417" s="5"/>
    </row>
    <row r="418" ht="15.75" customHeight="1">
      <c r="D418" s="3"/>
      <c r="M418" s="4"/>
      <c r="N418" s="5"/>
      <c r="S418" s="4"/>
      <c r="T418" s="5"/>
      <c r="V418" s="5"/>
    </row>
    <row r="419" ht="15.75" customHeight="1">
      <c r="D419" s="3"/>
      <c r="M419" s="4"/>
      <c r="N419" s="5"/>
      <c r="S419" s="4"/>
      <c r="T419" s="5"/>
      <c r="V419" s="5"/>
    </row>
    <row r="420" ht="15.75" customHeight="1">
      <c r="D420" s="3"/>
      <c r="M420" s="4"/>
      <c r="N420" s="5"/>
      <c r="S420" s="4"/>
      <c r="T420" s="5"/>
      <c r="V420" s="5"/>
    </row>
    <row r="421" ht="15.75" customHeight="1">
      <c r="D421" s="3"/>
      <c r="M421" s="4"/>
      <c r="N421" s="5"/>
      <c r="S421" s="4"/>
      <c r="T421" s="5"/>
      <c r="V421" s="5"/>
    </row>
    <row r="422" ht="15.75" customHeight="1">
      <c r="D422" s="3"/>
      <c r="M422" s="4"/>
      <c r="N422" s="5"/>
      <c r="S422" s="4"/>
      <c r="T422" s="5"/>
      <c r="V422" s="5"/>
    </row>
    <row r="423" ht="15.75" customHeight="1">
      <c r="D423" s="3"/>
      <c r="M423" s="4"/>
      <c r="N423" s="5"/>
      <c r="S423" s="4"/>
      <c r="T423" s="5"/>
      <c r="V423" s="5"/>
    </row>
    <row r="424" ht="15.75" customHeight="1">
      <c r="D424" s="3"/>
      <c r="M424" s="4"/>
      <c r="N424" s="5"/>
      <c r="S424" s="4"/>
      <c r="T424" s="5"/>
      <c r="V424" s="5"/>
    </row>
    <row r="425" ht="15.75" customHeight="1">
      <c r="D425" s="3"/>
      <c r="M425" s="4"/>
      <c r="N425" s="5"/>
      <c r="S425" s="4"/>
      <c r="T425" s="5"/>
      <c r="V425" s="5"/>
    </row>
    <row r="426" ht="15.75" customHeight="1">
      <c r="D426" s="3"/>
      <c r="M426" s="4"/>
      <c r="N426" s="5"/>
      <c r="S426" s="4"/>
      <c r="T426" s="5"/>
      <c r="V426" s="5"/>
    </row>
    <row r="427" ht="15.75" customHeight="1">
      <c r="D427" s="3"/>
      <c r="M427" s="4"/>
      <c r="N427" s="5"/>
      <c r="S427" s="4"/>
      <c r="T427" s="5"/>
      <c r="V427" s="5"/>
    </row>
    <row r="428" ht="15.75" customHeight="1">
      <c r="D428" s="3"/>
      <c r="M428" s="4"/>
      <c r="N428" s="5"/>
      <c r="S428" s="4"/>
      <c r="T428" s="5"/>
      <c r="V428" s="5"/>
    </row>
    <row r="429" ht="15.75" customHeight="1">
      <c r="D429" s="3"/>
      <c r="M429" s="4"/>
      <c r="N429" s="5"/>
      <c r="S429" s="4"/>
      <c r="T429" s="5"/>
      <c r="V429" s="5"/>
    </row>
    <row r="430" ht="15.75" customHeight="1">
      <c r="D430" s="3"/>
      <c r="M430" s="4"/>
      <c r="N430" s="5"/>
      <c r="S430" s="4"/>
      <c r="T430" s="5"/>
      <c r="V430" s="5"/>
    </row>
    <row r="431" ht="15.75" customHeight="1">
      <c r="D431" s="3"/>
      <c r="M431" s="4"/>
      <c r="N431" s="5"/>
      <c r="S431" s="4"/>
      <c r="T431" s="5"/>
      <c r="V431" s="5"/>
    </row>
    <row r="432" ht="15.75" customHeight="1">
      <c r="D432" s="3"/>
      <c r="M432" s="4"/>
      <c r="N432" s="5"/>
      <c r="S432" s="4"/>
      <c r="T432" s="5"/>
      <c r="V432" s="5"/>
    </row>
    <row r="433" ht="15.75" customHeight="1">
      <c r="D433" s="3"/>
      <c r="M433" s="4"/>
      <c r="N433" s="5"/>
      <c r="S433" s="4"/>
      <c r="T433" s="5"/>
      <c r="V433" s="5"/>
    </row>
    <row r="434" ht="15.75" customHeight="1">
      <c r="D434" s="3"/>
      <c r="M434" s="4"/>
      <c r="N434" s="5"/>
      <c r="S434" s="4"/>
      <c r="T434" s="5"/>
      <c r="V434" s="5"/>
    </row>
    <row r="435" ht="15.75" customHeight="1">
      <c r="D435" s="3"/>
      <c r="M435" s="4"/>
      <c r="N435" s="5"/>
      <c r="S435" s="4"/>
      <c r="T435" s="5"/>
      <c r="V435" s="5"/>
    </row>
    <row r="436" ht="15.75" customHeight="1">
      <c r="D436" s="3"/>
      <c r="M436" s="4"/>
      <c r="N436" s="5"/>
      <c r="S436" s="4"/>
      <c r="T436" s="5"/>
      <c r="V436" s="5"/>
    </row>
    <row r="437" ht="15.75" customHeight="1">
      <c r="D437" s="3"/>
      <c r="M437" s="4"/>
      <c r="N437" s="5"/>
      <c r="S437" s="4"/>
      <c r="T437" s="5"/>
      <c r="V437" s="5"/>
    </row>
    <row r="438" ht="15.75" customHeight="1">
      <c r="D438" s="3"/>
      <c r="M438" s="4"/>
      <c r="N438" s="5"/>
      <c r="S438" s="4"/>
      <c r="T438" s="5"/>
      <c r="V438" s="5"/>
    </row>
    <row r="439" ht="15.75" customHeight="1">
      <c r="D439" s="3"/>
      <c r="M439" s="4"/>
      <c r="N439" s="5"/>
      <c r="S439" s="4"/>
      <c r="T439" s="5"/>
      <c r="V439" s="5"/>
    </row>
    <row r="440" ht="15.75" customHeight="1">
      <c r="D440" s="3"/>
      <c r="M440" s="4"/>
      <c r="N440" s="5"/>
      <c r="S440" s="4"/>
      <c r="T440" s="5"/>
      <c r="V440" s="5"/>
    </row>
    <row r="441" ht="15.75" customHeight="1">
      <c r="D441" s="3"/>
      <c r="M441" s="4"/>
      <c r="N441" s="5"/>
      <c r="S441" s="4"/>
      <c r="T441" s="5"/>
      <c r="V441" s="5"/>
    </row>
    <row r="442" ht="15.75" customHeight="1">
      <c r="D442" s="3"/>
      <c r="M442" s="4"/>
      <c r="N442" s="5"/>
      <c r="S442" s="4"/>
      <c r="T442" s="5"/>
      <c r="V442" s="5"/>
    </row>
    <row r="443" ht="15.75" customHeight="1">
      <c r="D443" s="3"/>
      <c r="M443" s="4"/>
      <c r="N443" s="5"/>
      <c r="S443" s="4"/>
      <c r="T443" s="5"/>
      <c r="V443" s="5"/>
    </row>
    <row r="444" ht="15.75" customHeight="1">
      <c r="D444" s="3"/>
      <c r="M444" s="4"/>
      <c r="N444" s="5"/>
      <c r="S444" s="4"/>
      <c r="T444" s="5"/>
      <c r="V444" s="5"/>
    </row>
    <row r="445" ht="15.75" customHeight="1">
      <c r="D445" s="3"/>
      <c r="M445" s="4"/>
      <c r="N445" s="5"/>
      <c r="S445" s="4"/>
      <c r="T445" s="5"/>
      <c r="V445" s="5"/>
    </row>
    <row r="446" ht="15.75" customHeight="1">
      <c r="D446" s="3"/>
      <c r="M446" s="4"/>
      <c r="N446" s="5"/>
      <c r="S446" s="4"/>
      <c r="T446" s="5"/>
      <c r="V446" s="5"/>
    </row>
    <row r="447" ht="15.75" customHeight="1">
      <c r="D447" s="3"/>
      <c r="M447" s="4"/>
      <c r="N447" s="5"/>
      <c r="S447" s="4"/>
      <c r="T447" s="5"/>
      <c r="V447" s="5"/>
    </row>
    <row r="448" ht="15.75" customHeight="1">
      <c r="D448" s="3"/>
      <c r="M448" s="4"/>
      <c r="N448" s="5"/>
      <c r="S448" s="4"/>
      <c r="T448" s="5"/>
      <c r="V448" s="5"/>
    </row>
    <row r="449" ht="15.75" customHeight="1">
      <c r="D449" s="3"/>
      <c r="M449" s="4"/>
      <c r="N449" s="5"/>
      <c r="S449" s="4"/>
      <c r="T449" s="5"/>
      <c r="V449" s="5"/>
    </row>
    <row r="450" ht="15.75" customHeight="1">
      <c r="D450" s="3"/>
      <c r="M450" s="4"/>
      <c r="N450" s="5"/>
      <c r="S450" s="4"/>
      <c r="T450" s="5"/>
      <c r="V450" s="5"/>
    </row>
    <row r="451" ht="15.75" customHeight="1">
      <c r="D451" s="3"/>
      <c r="M451" s="4"/>
      <c r="N451" s="5"/>
      <c r="S451" s="4"/>
      <c r="T451" s="5"/>
      <c r="V451" s="5"/>
    </row>
    <row r="452" ht="15.75" customHeight="1">
      <c r="D452" s="3"/>
      <c r="M452" s="4"/>
      <c r="N452" s="5"/>
      <c r="S452" s="4"/>
      <c r="T452" s="5"/>
      <c r="V452" s="5"/>
    </row>
    <row r="453" ht="15.75" customHeight="1">
      <c r="D453" s="3"/>
      <c r="M453" s="4"/>
      <c r="N453" s="5"/>
      <c r="S453" s="4"/>
      <c r="T453" s="5"/>
      <c r="V453" s="5"/>
    </row>
    <row r="454" ht="15.75" customHeight="1">
      <c r="D454" s="3"/>
      <c r="M454" s="4"/>
      <c r="N454" s="5"/>
      <c r="S454" s="4"/>
      <c r="T454" s="5"/>
      <c r="V454" s="5"/>
    </row>
    <row r="455" ht="15.75" customHeight="1">
      <c r="D455" s="3"/>
      <c r="M455" s="4"/>
      <c r="N455" s="5"/>
      <c r="S455" s="4"/>
      <c r="T455" s="5"/>
      <c r="V455" s="5"/>
    </row>
    <row r="456" ht="15.75" customHeight="1">
      <c r="D456" s="3"/>
      <c r="M456" s="4"/>
      <c r="N456" s="5"/>
      <c r="S456" s="4"/>
      <c r="T456" s="5"/>
      <c r="V456" s="5"/>
    </row>
    <row r="457" ht="15.75" customHeight="1">
      <c r="D457" s="3"/>
      <c r="M457" s="4"/>
      <c r="N457" s="5"/>
      <c r="S457" s="4"/>
      <c r="T457" s="5"/>
      <c r="V457" s="5"/>
    </row>
    <row r="458" ht="15.75" customHeight="1">
      <c r="D458" s="3"/>
      <c r="M458" s="4"/>
      <c r="N458" s="5"/>
      <c r="S458" s="4"/>
      <c r="T458" s="5"/>
      <c r="V458" s="5"/>
    </row>
    <row r="459" ht="15.75" customHeight="1">
      <c r="D459" s="3"/>
      <c r="M459" s="4"/>
      <c r="N459" s="5"/>
      <c r="S459" s="4"/>
      <c r="T459" s="5"/>
      <c r="V459" s="5"/>
    </row>
    <row r="460" ht="15.75" customHeight="1">
      <c r="D460" s="3"/>
      <c r="M460" s="4"/>
      <c r="N460" s="5"/>
      <c r="S460" s="4"/>
      <c r="T460" s="5"/>
      <c r="V460" s="5"/>
    </row>
    <row r="461" ht="15.75" customHeight="1">
      <c r="D461" s="3"/>
      <c r="M461" s="4"/>
      <c r="N461" s="5"/>
      <c r="S461" s="4"/>
      <c r="T461" s="5"/>
      <c r="V461" s="5"/>
    </row>
    <row r="462" ht="15.75" customHeight="1">
      <c r="D462" s="3"/>
      <c r="M462" s="4"/>
      <c r="N462" s="5"/>
      <c r="S462" s="4"/>
      <c r="T462" s="5"/>
      <c r="V462" s="5"/>
    </row>
    <row r="463" ht="15.75" customHeight="1">
      <c r="D463" s="3"/>
      <c r="M463" s="4"/>
      <c r="N463" s="5"/>
      <c r="S463" s="4"/>
      <c r="T463" s="5"/>
      <c r="V463" s="5"/>
    </row>
    <row r="464" ht="15.75" customHeight="1">
      <c r="D464" s="3"/>
      <c r="M464" s="4"/>
      <c r="N464" s="5"/>
      <c r="S464" s="4"/>
      <c r="T464" s="5"/>
      <c r="V464" s="5"/>
    </row>
    <row r="465" ht="15.75" customHeight="1">
      <c r="D465" s="3"/>
      <c r="M465" s="4"/>
      <c r="N465" s="5"/>
      <c r="S465" s="4"/>
      <c r="T465" s="5"/>
      <c r="V465" s="5"/>
    </row>
    <row r="466" ht="15.75" customHeight="1">
      <c r="D466" s="3"/>
      <c r="M466" s="4"/>
      <c r="N466" s="5"/>
      <c r="S466" s="4"/>
      <c r="T466" s="5"/>
      <c r="V466" s="5"/>
    </row>
    <row r="467" ht="15.75" customHeight="1">
      <c r="D467" s="3"/>
      <c r="M467" s="4"/>
      <c r="N467" s="5"/>
      <c r="S467" s="4"/>
      <c r="T467" s="5"/>
      <c r="V467" s="5"/>
    </row>
    <row r="468" ht="15.75" customHeight="1">
      <c r="D468" s="3"/>
      <c r="M468" s="4"/>
      <c r="N468" s="5"/>
      <c r="S468" s="4"/>
      <c r="T468" s="5"/>
      <c r="V468" s="5"/>
    </row>
    <row r="469" ht="15.75" customHeight="1">
      <c r="D469" s="3"/>
      <c r="M469" s="4"/>
      <c r="N469" s="5"/>
      <c r="S469" s="4"/>
      <c r="T469" s="5"/>
      <c r="V469" s="5"/>
    </row>
    <row r="470" ht="15.75" customHeight="1">
      <c r="D470" s="3"/>
      <c r="M470" s="4"/>
      <c r="N470" s="5"/>
      <c r="S470" s="4"/>
      <c r="T470" s="5"/>
      <c r="V470" s="5"/>
    </row>
    <row r="471" ht="15.75" customHeight="1">
      <c r="D471" s="3"/>
      <c r="M471" s="4"/>
      <c r="N471" s="5"/>
      <c r="S471" s="4"/>
      <c r="T471" s="5"/>
      <c r="V471" s="5"/>
    </row>
    <row r="472" ht="15.75" customHeight="1">
      <c r="D472" s="3"/>
      <c r="M472" s="4"/>
      <c r="N472" s="5"/>
      <c r="S472" s="4"/>
      <c r="T472" s="5"/>
      <c r="V472" s="5"/>
    </row>
    <row r="473" ht="15.75" customHeight="1">
      <c r="D473" s="3"/>
      <c r="M473" s="4"/>
      <c r="N473" s="5"/>
      <c r="S473" s="4"/>
      <c r="T473" s="5"/>
      <c r="V473" s="5"/>
    </row>
    <row r="474" ht="15.75" customHeight="1">
      <c r="D474" s="3"/>
      <c r="M474" s="4"/>
      <c r="N474" s="5"/>
      <c r="S474" s="4"/>
      <c r="T474" s="5"/>
      <c r="V474" s="5"/>
    </row>
    <row r="475" ht="15.75" customHeight="1">
      <c r="D475" s="3"/>
      <c r="M475" s="4"/>
      <c r="N475" s="5"/>
      <c r="S475" s="4"/>
      <c r="T475" s="5"/>
      <c r="V475" s="5"/>
    </row>
    <row r="476" ht="15.75" customHeight="1">
      <c r="D476" s="3"/>
      <c r="M476" s="4"/>
      <c r="N476" s="5"/>
      <c r="S476" s="4"/>
      <c r="T476" s="5"/>
      <c r="V476" s="5"/>
    </row>
    <row r="477" ht="15.75" customHeight="1">
      <c r="D477" s="3"/>
      <c r="M477" s="4"/>
      <c r="N477" s="5"/>
      <c r="S477" s="4"/>
      <c r="T477" s="5"/>
      <c r="V477" s="5"/>
    </row>
    <row r="478" ht="15.75" customHeight="1">
      <c r="D478" s="3"/>
      <c r="M478" s="4"/>
      <c r="N478" s="5"/>
      <c r="S478" s="4"/>
      <c r="T478" s="5"/>
      <c r="V478" s="5"/>
    </row>
    <row r="479" ht="15.75" customHeight="1">
      <c r="D479" s="3"/>
      <c r="M479" s="4"/>
      <c r="N479" s="5"/>
      <c r="S479" s="4"/>
      <c r="T479" s="5"/>
      <c r="V479" s="5"/>
    </row>
    <row r="480" ht="15.75" customHeight="1">
      <c r="D480" s="3"/>
      <c r="M480" s="4"/>
      <c r="N480" s="5"/>
      <c r="S480" s="4"/>
      <c r="T480" s="5"/>
      <c r="V480" s="5"/>
    </row>
    <row r="481" ht="15.75" customHeight="1">
      <c r="D481" s="3"/>
      <c r="M481" s="4"/>
      <c r="N481" s="5"/>
      <c r="S481" s="4"/>
      <c r="T481" s="5"/>
      <c r="V481" s="5"/>
    </row>
    <row r="482" ht="15.75" customHeight="1">
      <c r="D482" s="3"/>
      <c r="M482" s="4"/>
      <c r="N482" s="5"/>
      <c r="S482" s="4"/>
      <c r="T482" s="5"/>
      <c r="V482" s="5"/>
    </row>
    <row r="483" ht="15.75" customHeight="1">
      <c r="D483" s="3"/>
      <c r="M483" s="4"/>
      <c r="N483" s="5"/>
      <c r="S483" s="4"/>
      <c r="T483" s="5"/>
      <c r="V483" s="5"/>
    </row>
    <row r="484" ht="15.75" customHeight="1">
      <c r="D484" s="3"/>
      <c r="M484" s="4"/>
      <c r="N484" s="5"/>
      <c r="S484" s="4"/>
      <c r="T484" s="5"/>
      <c r="V484" s="5"/>
    </row>
    <row r="485" ht="15.75" customHeight="1">
      <c r="D485" s="3"/>
      <c r="M485" s="4"/>
      <c r="N485" s="5"/>
      <c r="S485" s="4"/>
      <c r="T485" s="5"/>
      <c r="V485" s="5"/>
    </row>
    <row r="486" ht="15.75" customHeight="1">
      <c r="D486" s="3"/>
      <c r="M486" s="4"/>
      <c r="N486" s="5"/>
      <c r="S486" s="4"/>
      <c r="T486" s="5"/>
      <c r="V486" s="5"/>
    </row>
    <row r="487" ht="15.75" customHeight="1">
      <c r="D487" s="3"/>
      <c r="M487" s="4"/>
      <c r="N487" s="5"/>
      <c r="S487" s="4"/>
      <c r="T487" s="5"/>
      <c r="V487" s="5"/>
    </row>
    <row r="488" ht="15.75" customHeight="1">
      <c r="D488" s="3"/>
      <c r="M488" s="4"/>
      <c r="N488" s="5"/>
      <c r="S488" s="4"/>
      <c r="T488" s="5"/>
      <c r="V488" s="5"/>
    </row>
    <row r="489" ht="15.75" customHeight="1">
      <c r="D489" s="3"/>
      <c r="M489" s="4"/>
      <c r="N489" s="5"/>
      <c r="S489" s="4"/>
      <c r="T489" s="5"/>
      <c r="V489" s="5"/>
    </row>
    <row r="490" ht="15.75" customHeight="1">
      <c r="D490" s="3"/>
      <c r="M490" s="4"/>
      <c r="N490" s="5"/>
      <c r="S490" s="4"/>
      <c r="T490" s="5"/>
      <c r="V490" s="5"/>
    </row>
    <row r="491" ht="15.75" customHeight="1">
      <c r="D491" s="3"/>
      <c r="M491" s="4"/>
      <c r="N491" s="5"/>
      <c r="S491" s="4"/>
      <c r="T491" s="5"/>
      <c r="V491" s="5"/>
      <c r="AC491" s="7" t="str">
        <f>COMPLEX(y. nnm.jjhhbbhb. ; AF405; AF616)</f>
        <v>#ERROR!</v>
      </c>
    </row>
    <row r="492" ht="15.75" customHeight="1">
      <c r="D492" s="3"/>
      <c r="M492" s="4"/>
      <c r="N492" s="5"/>
      <c r="S492" s="4"/>
      <c r="T492" s="5"/>
      <c r="V492" s="5"/>
    </row>
    <row r="493" ht="15.75" customHeight="1">
      <c r="D493" s="3"/>
      <c r="M493" s="4"/>
      <c r="N493" s="5"/>
      <c r="S493" s="4"/>
      <c r="T493" s="5"/>
      <c r="V493" s="5"/>
    </row>
    <row r="494" ht="15.75" customHeight="1">
      <c r="D494" s="3"/>
      <c r="M494" s="4"/>
      <c r="N494" s="5"/>
      <c r="S494" s="4"/>
      <c r="T494" s="5"/>
      <c r="V494" s="5"/>
    </row>
    <row r="495" ht="15.75" customHeight="1">
      <c r="D495" s="3"/>
      <c r="M495" s="4"/>
      <c r="N495" s="5"/>
      <c r="S495" s="4"/>
      <c r="T495" s="5"/>
      <c r="V495" s="5"/>
    </row>
    <row r="496" ht="15.75" customHeight="1">
      <c r="D496" s="3"/>
      <c r="M496" s="4"/>
      <c r="N496" s="5"/>
      <c r="S496" s="4"/>
      <c r="T496" s="5"/>
      <c r="V496" s="5"/>
    </row>
    <row r="497" ht="15.75" customHeight="1">
      <c r="D497" s="3"/>
      <c r="M497" s="4"/>
      <c r="N497" s="5"/>
      <c r="S497" s="4"/>
      <c r="T497" s="5"/>
      <c r="V497" s="5"/>
    </row>
    <row r="498" ht="15.75" customHeight="1">
      <c r="D498" s="3"/>
      <c r="M498" s="4"/>
      <c r="N498" s="5"/>
      <c r="S498" s="4"/>
      <c r="T498" s="5"/>
      <c r="V498" s="5"/>
    </row>
    <row r="499" ht="15.75" customHeight="1">
      <c r="D499" s="3"/>
      <c r="M499" s="4"/>
      <c r="N499" s="5"/>
      <c r="S499" s="4"/>
      <c r="T499" s="5"/>
      <c r="V499" s="5"/>
    </row>
    <row r="500" ht="15.75" customHeight="1">
      <c r="D500" s="3"/>
      <c r="M500" s="4"/>
      <c r="N500" s="5"/>
      <c r="S500" s="4"/>
      <c r="T500" s="5"/>
      <c r="V500" s="5"/>
    </row>
    <row r="501" ht="15.75" customHeight="1">
      <c r="D501" s="3"/>
      <c r="M501" s="4"/>
      <c r="N501" s="5"/>
      <c r="S501" s="4"/>
      <c r="T501" s="5"/>
      <c r="V501" s="5"/>
    </row>
    <row r="502" ht="15.75" customHeight="1">
      <c r="D502" s="3"/>
      <c r="M502" s="4"/>
      <c r="N502" s="5"/>
      <c r="S502" s="4"/>
      <c r="T502" s="5"/>
      <c r="V502" s="5"/>
    </row>
    <row r="503" ht="15.75" customHeight="1">
      <c r="D503" s="3"/>
      <c r="M503" s="4"/>
      <c r="N503" s="5"/>
      <c r="S503" s="4"/>
      <c r="T503" s="5"/>
      <c r="V503" s="5"/>
    </row>
    <row r="504" ht="15.75" customHeight="1">
      <c r="D504" s="3"/>
      <c r="M504" s="4"/>
      <c r="N504" s="5"/>
      <c r="S504" s="4"/>
      <c r="T504" s="5"/>
      <c r="V504" s="5"/>
    </row>
    <row r="505" ht="15.75" customHeight="1">
      <c r="D505" s="3"/>
      <c r="M505" s="4"/>
      <c r="N505" s="5"/>
      <c r="S505" s="4"/>
      <c r="T505" s="5"/>
      <c r="V505" s="5"/>
    </row>
    <row r="506" ht="15.75" customHeight="1">
      <c r="D506" s="3"/>
      <c r="M506" s="4"/>
      <c r="N506" s="5"/>
      <c r="S506" s="4"/>
      <c r="T506" s="5"/>
      <c r="V506" s="5"/>
    </row>
    <row r="507" ht="15.75" customHeight="1">
      <c r="D507" s="3"/>
      <c r="M507" s="4"/>
      <c r="N507" s="5"/>
      <c r="S507" s="4"/>
      <c r="T507" s="5"/>
      <c r="V507" s="5"/>
    </row>
    <row r="508" ht="15.75" customHeight="1">
      <c r="D508" s="3"/>
      <c r="M508" s="4"/>
      <c r="N508" s="5"/>
      <c r="S508" s="4"/>
      <c r="T508" s="5"/>
      <c r="V508" s="5"/>
    </row>
    <row r="509" ht="15.75" customHeight="1">
      <c r="D509" s="3"/>
      <c r="M509" s="4"/>
      <c r="N509" s="5"/>
      <c r="S509" s="4"/>
      <c r="T509" s="5"/>
      <c r="V509" s="5"/>
    </row>
    <row r="510" ht="15.75" customHeight="1">
      <c r="D510" s="3"/>
      <c r="M510" s="4"/>
      <c r="N510" s="5"/>
      <c r="S510" s="4"/>
      <c r="T510" s="5"/>
      <c r="V510" s="5"/>
    </row>
    <row r="511" ht="15.75" customHeight="1">
      <c r="D511" s="3"/>
      <c r="M511" s="4"/>
      <c r="N511" s="5"/>
      <c r="S511" s="4"/>
      <c r="T511" s="5"/>
      <c r="V511" s="5"/>
    </row>
    <row r="512" ht="15.75" customHeight="1">
      <c r="D512" s="3"/>
      <c r="M512" s="4"/>
      <c r="N512" s="5"/>
      <c r="S512" s="4"/>
      <c r="T512" s="5"/>
      <c r="V512" s="5"/>
    </row>
    <row r="513" ht="15.75" customHeight="1">
      <c r="D513" s="3"/>
      <c r="M513" s="4"/>
      <c r="N513" s="5"/>
      <c r="S513" s="4"/>
      <c r="T513" s="5"/>
      <c r="V513" s="5"/>
    </row>
    <row r="514" ht="15.75" customHeight="1">
      <c r="D514" s="3"/>
      <c r="M514" s="4"/>
      <c r="N514" s="5"/>
      <c r="S514" s="4"/>
      <c r="T514" s="5"/>
      <c r="V514" s="5"/>
    </row>
    <row r="515" ht="15.75" customHeight="1">
      <c r="D515" s="3"/>
      <c r="M515" s="4"/>
      <c r="N515" s="5"/>
      <c r="S515" s="4"/>
      <c r="T515" s="5"/>
      <c r="V515" s="5"/>
    </row>
    <row r="516" ht="15.75" customHeight="1">
      <c r="D516" s="3"/>
      <c r="M516" s="4"/>
      <c r="N516" s="5"/>
      <c r="S516" s="4"/>
      <c r="T516" s="5"/>
      <c r="V516" s="5"/>
    </row>
    <row r="517" ht="15.75" customHeight="1">
      <c r="D517" s="3"/>
      <c r="M517" s="4"/>
      <c r="N517" s="5"/>
      <c r="S517" s="4"/>
      <c r="T517" s="5"/>
      <c r="V517" s="5"/>
    </row>
    <row r="518" ht="15.75" customHeight="1">
      <c r="D518" s="3"/>
      <c r="M518" s="4"/>
      <c r="N518" s="5"/>
      <c r="S518" s="4"/>
      <c r="T518" s="5"/>
      <c r="V518" s="5"/>
    </row>
    <row r="519" ht="15.75" customHeight="1">
      <c r="D519" s="3"/>
      <c r="M519" s="4"/>
      <c r="N519" s="5"/>
      <c r="S519" s="4"/>
      <c r="T519" s="5"/>
      <c r="V519" s="5"/>
    </row>
    <row r="520" ht="15.75" customHeight="1">
      <c r="D520" s="3"/>
      <c r="M520" s="4"/>
      <c r="N520" s="5"/>
      <c r="S520" s="4"/>
      <c r="T520" s="5"/>
      <c r="V520" s="5"/>
    </row>
    <row r="521" ht="15.75" customHeight="1">
      <c r="D521" s="3"/>
      <c r="M521" s="4"/>
      <c r="N521" s="5"/>
      <c r="S521" s="4"/>
      <c r="T521" s="5"/>
      <c r="V521" s="5"/>
    </row>
    <row r="522" ht="15.75" customHeight="1">
      <c r="D522" s="3"/>
      <c r="M522" s="4"/>
      <c r="N522" s="5"/>
      <c r="S522" s="4"/>
      <c r="T522" s="5"/>
      <c r="V522" s="5"/>
    </row>
    <row r="523" ht="15.75" customHeight="1">
      <c r="D523" s="3"/>
      <c r="M523" s="4"/>
      <c r="N523" s="5"/>
      <c r="S523" s="4"/>
      <c r="T523" s="5"/>
      <c r="V523" s="5"/>
    </row>
    <row r="524" ht="15.75" customHeight="1">
      <c r="D524" s="3"/>
      <c r="M524" s="4"/>
      <c r="N524" s="5"/>
      <c r="S524" s="4"/>
      <c r="T524" s="5"/>
      <c r="V524" s="5"/>
    </row>
    <row r="525" ht="15.75" customHeight="1">
      <c r="D525" s="3"/>
      <c r="M525" s="4"/>
      <c r="N525" s="5"/>
      <c r="S525" s="4"/>
      <c r="T525" s="5"/>
      <c r="V525" s="5"/>
    </row>
    <row r="526" ht="15.75" customHeight="1">
      <c r="D526" s="3"/>
      <c r="M526" s="4"/>
      <c r="N526" s="5"/>
      <c r="S526" s="4"/>
      <c r="T526" s="5"/>
      <c r="V526" s="5"/>
    </row>
    <row r="527" ht="15.75" customHeight="1">
      <c r="D527" s="3"/>
      <c r="M527" s="4"/>
      <c r="N527" s="5"/>
      <c r="S527" s="4"/>
      <c r="T527" s="5"/>
      <c r="V527" s="5"/>
    </row>
    <row r="528" ht="15.75" customHeight="1">
      <c r="D528" s="3"/>
      <c r="M528" s="4"/>
      <c r="N528" s="5"/>
      <c r="S528" s="4"/>
      <c r="T528" s="5"/>
      <c r="V528" s="5"/>
    </row>
    <row r="529" ht="15.75" customHeight="1">
      <c r="D529" s="3"/>
      <c r="M529" s="4"/>
      <c r="N529" s="5"/>
      <c r="S529" s="4"/>
      <c r="T529" s="5"/>
      <c r="V529" s="5"/>
    </row>
    <row r="530" ht="15.75" customHeight="1">
      <c r="D530" s="3"/>
      <c r="M530" s="4"/>
      <c r="N530" s="5"/>
      <c r="S530" s="4"/>
      <c r="T530" s="5"/>
      <c r="V530" s="5"/>
    </row>
    <row r="531" ht="15.75" customHeight="1">
      <c r="D531" s="3"/>
      <c r="M531" s="4"/>
      <c r="N531" s="5"/>
      <c r="S531" s="4"/>
      <c r="T531" s="5"/>
      <c r="V531" s="5"/>
    </row>
    <row r="532" ht="15.75" customHeight="1">
      <c r="D532" s="3"/>
      <c r="M532" s="4"/>
      <c r="N532" s="5"/>
      <c r="S532" s="4"/>
      <c r="T532" s="5"/>
      <c r="V532" s="5"/>
    </row>
    <row r="533" ht="15.75" customHeight="1">
      <c r="D533" s="3"/>
      <c r="M533" s="4"/>
      <c r="N533" s="5"/>
      <c r="S533" s="4"/>
      <c r="T533" s="5"/>
      <c r="V533" s="5"/>
    </row>
    <row r="534" ht="15.75" customHeight="1">
      <c r="D534" s="3"/>
      <c r="M534" s="4"/>
      <c r="N534" s="5"/>
      <c r="S534" s="4"/>
      <c r="T534" s="5"/>
      <c r="V534" s="5"/>
    </row>
    <row r="535" ht="15.75" customHeight="1">
      <c r="D535" s="3"/>
      <c r="M535" s="4"/>
      <c r="N535" s="5"/>
      <c r="S535" s="4"/>
      <c r="T535" s="5"/>
      <c r="V535" s="5"/>
    </row>
    <row r="536" ht="15.75" customHeight="1">
      <c r="D536" s="3"/>
      <c r="M536" s="4"/>
      <c r="N536" s="5"/>
      <c r="S536" s="4"/>
      <c r="T536" s="5"/>
      <c r="V536" s="5"/>
    </row>
    <row r="537" ht="15.75" customHeight="1">
      <c r="D537" s="3"/>
      <c r="M537" s="4"/>
      <c r="N537" s="5"/>
      <c r="S537" s="4"/>
      <c r="T537" s="5"/>
      <c r="V537" s="5"/>
    </row>
    <row r="538" ht="15.75" customHeight="1">
      <c r="D538" s="3"/>
      <c r="M538" s="4"/>
      <c r="N538" s="5"/>
      <c r="S538" s="4"/>
      <c r="T538" s="5"/>
      <c r="V538" s="5"/>
    </row>
    <row r="539" ht="15.75" customHeight="1">
      <c r="D539" s="3"/>
      <c r="M539" s="4"/>
      <c r="N539" s="5"/>
      <c r="S539" s="4"/>
      <c r="T539" s="5"/>
      <c r="V539" s="5"/>
    </row>
    <row r="540" ht="15.75" customHeight="1">
      <c r="D540" s="3"/>
      <c r="M540" s="4"/>
      <c r="N540" s="5"/>
      <c r="S540" s="4"/>
      <c r="T540" s="5"/>
      <c r="V540" s="5"/>
    </row>
    <row r="541" ht="15.75" customHeight="1">
      <c r="D541" s="3"/>
      <c r="M541" s="4"/>
      <c r="N541" s="5"/>
      <c r="S541" s="4"/>
      <c r="T541" s="5"/>
      <c r="V541" s="5"/>
    </row>
    <row r="542" ht="15.75" customHeight="1">
      <c r="D542" s="3"/>
      <c r="M542" s="4"/>
      <c r="N542" s="5"/>
      <c r="S542" s="4"/>
      <c r="T542" s="5"/>
      <c r="V542" s="5"/>
    </row>
    <row r="543" ht="15.75" customHeight="1">
      <c r="D543" s="3"/>
      <c r="M543" s="4"/>
      <c r="N543" s="5"/>
      <c r="S543" s="4"/>
      <c r="T543" s="5"/>
      <c r="V543" s="5"/>
    </row>
    <row r="544" ht="15.75" customHeight="1">
      <c r="D544" s="3"/>
      <c r="M544" s="4"/>
      <c r="N544" s="5"/>
      <c r="S544" s="4"/>
      <c r="T544" s="5"/>
      <c r="V544" s="5"/>
    </row>
    <row r="545" ht="15.75" customHeight="1">
      <c r="D545" s="3"/>
      <c r="M545" s="4"/>
      <c r="N545" s="5"/>
      <c r="S545" s="4"/>
      <c r="T545" s="5"/>
      <c r="V545" s="5"/>
    </row>
    <row r="546" ht="15.75" customHeight="1">
      <c r="D546" s="3"/>
      <c r="M546" s="4"/>
      <c r="N546" s="5"/>
      <c r="S546" s="4"/>
      <c r="T546" s="5"/>
      <c r="V546" s="5"/>
    </row>
    <row r="547" ht="15.75" customHeight="1">
      <c r="D547" s="3"/>
      <c r="M547" s="4"/>
      <c r="N547" s="5"/>
      <c r="S547" s="4"/>
      <c r="T547" s="5"/>
      <c r="V547" s="5"/>
    </row>
    <row r="548" ht="15.75" customHeight="1">
      <c r="D548" s="3"/>
      <c r="M548" s="4"/>
      <c r="N548" s="5"/>
      <c r="S548" s="4"/>
      <c r="T548" s="5"/>
      <c r="V548" s="5"/>
    </row>
    <row r="549" ht="15.75" customHeight="1">
      <c r="D549" s="3"/>
      <c r="M549" s="4"/>
      <c r="N549" s="5"/>
      <c r="S549" s="4"/>
      <c r="T549" s="5"/>
      <c r="V549" s="5"/>
    </row>
    <row r="550" ht="15.75" customHeight="1">
      <c r="D550" s="3"/>
      <c r="M550" s="4"/>
      <c r="N550" s="5"/>
      <c r="S550" s="4"/>
      <c r="T550" s="5"/>
      <c r="V550" s="5"/>
    </row>
    <row r="551" ht="15.75" customHeight="1">
      <c r="D551" s="3"/>
      <c r="M551" s="4"/>
      <c r="N551" s="5"/>
      <c r="S551" s="4"/>
      <c r="T551" s="5"/>
      <c r="V551" s="5"/>
    </row>
    <row r="552" ht="15.75" customHeight="1">
      <c r="D552" s="3"/>
      <c r="M552" s="4"/>
      <c r="N552" s="5"/>
      <c r="S552" s="4"/>
      <c r="T552" s="5"/>
      <c r="V552" s="5"/>
    </row>
    <row r="553" ht="15.75" customHeight="1">
      <c r="D553" s="3"/>
      <c r="M553" s="4"/>
      <c r="N553" s="5"/>
      <c r="S553" s="4"/>
      <c r="T553" s="5"/>
      <c r="V553" s="5"/>
    </row>
    <row r="554" ht="15.75" customHeight="1">
      <c r="D554" s="3"/>
      <c r="M554" s="4"/>
      <c r="N554" s="5"/>
      <c r="S554" s="4"/>
      <c r="T554" s="5"/>
      <c r="V554" s="5"/>
    </row>
    <row r="555" ht="15.75" customHeight="1">
      <c r="D555" s="3"/>
      <c r="M555" s="4"/>
      <c r="N555" s="5"/>
      <c r="S555" s="4"/>
      <c r="T555" s="5"/>
      <c r="V555" s="5"/>
    </row>
    <row r="556" ht="15.75" customHeight="1">
      <c r="D556" s="3"/>
      <c r="M556" s="4"/>
      <c r="N556" s="5"/>
      <c r="S556" s="4"/>
      <c r="T556" s="5"/>
      <c r="V556" s="5"/>
    </row>
    <row r="557" ht="15.75" customHeight="1">
      <c r="D557" s="3"/>
      <c r="M557" s="4"/>
      <c r="N557" s="5"/>
      <c r="S557" s="4"/>
      <c r="T557" s="5"/>
      <c r="V557" s="5"/>
    </row>
    <row r="558" ht="15.75" customHeight="1">
      <c r="D558" s="3"/>
      <c r="M558" s="4"/>
      <c r="N558" s="5"/>
      <c r="S558" s="4"/>
      <c r="T558" s="5"/>
      <c r="V558" s="5"/>
    </row>
    <row r="559" ht="15.75" customHeight="1">
      <c r="D559" s="3"/>
      <c r="M559" s="4"/>
      <c r="N559" s="5"/>
      <c r="S559" s="4"/>
      <c r="T559" s="5"/>
      <c r="V559" s="5"/>
    </row>
    <row r="560" ht="15.75" customHeight="1">
      <c r="D560" s="3"/>
      <c r="M560" s="4"/>
      <c r="N560" s="5"/>
      <c r="S560" s="4"/>
      <c r="T560" s="5"/>
      <c r="V560" s="5"/>
    </row>
    <row r="561" ht="15.75" customHeight="1">
      <c r="D561" s="3"/>
      <c r="M561" s="4"/>
      <c r="N561" s="5"/>
      <c r="S561" s="4"/>
      <c r="T561" s="5"/>
      <c r="V561" s="5"/>
    </row>
    <row r="562" ht="15.75" customHeight="1">
      <c r="D562" s="3"/>
      <c r="M562" s="4"/>
      <c r="N562" s="5"/>
      <c r="S562" s="4"/>
      <c r="T562" s="5"/>
      <c r="V562" s="5"/>
    </row>
    <row r="563" ht="15.75" customHeight="1">
      <c r="D563" s="3"/>
      <c r="M563" s="4"/>
      <c r="N563" s="5"/>
      <c r="S563" s="4"/>
      <c r="T563" s="5"/>
      <c r="V563" s="5"/>
    </row>
    <row r="564" ht="15.75" customHeight="1">
      <c r="D564" s="3"/>
      <c r="M564" s="4"/>
      <c r="N564" s="5"/>
      <c r="S564" s="4"/>
      <c r="T564" s="5"/>
      <c r="V564" s="5"/>
    </row>
    <row r="565" ht="15.75" customHeight="1">
      <c r="D565" s="3"/>
      <c r="M565" s="4"/>
      <c r="N565" s="5"/>
      <c r="S565" s="4"/>
      <c r="T565" s="5"/>
      <c r="V565" s="5"/>
    </row>
    <row r="566" ht="15.75" customHeight="1">
      <c r="D566" s="3"/>
      <c r="M566" s="4"/>
      <c r="N566" s="5"/>
      <c r="S566" s="4"/>
      <c r="T566" s="5"/>
      <c r="V566" s="5"/>
    </row>
    <row r="567" ht="15.75" customHeight="1">
      <c r="D567" s="3"/>
      <c r="M567" s="4"/>
      <c r="N567" s="5"/>
      <c r="S567" s="4"/>
      <c r="T567" s="5"/>
      <c r="V567" s="5"/>
    </row>
    <row r="568" ht="15.75" customHeight="1">
      <c r="D568" s="3"/>
      <c r="M568" s="4"/>
      <c r="N568" s="5"/>
      <c r="S568" s="4"/>
      <c r="T568" s="5"/>
      <c r="V568" s="5"/>
    </row>
    <row r="569" ht="15.75" customHeight="1">
      <c r="D569" s="3"/>
      <c r="M569" s="4"/>
      <c r="N569" s="5"/>
      <c r="S569" s="4"/>
      <c r="T569" s="5"/>
      <c r="V569" s="5"/>
    </row>
    <row r="570" ht="15.75" customHeight="1">
      <c r="D570" s="3"/>
      <c r="M570" s="4"/>
      <c r="N570" s="5"/>
      <c r="S570" s="4"/>
      <c r="T570" s="5"/>
      <c r="V570" s="5"/>
    </row>
    <row r="571" ht="15.75" customHeight="1">
      <c r="D571" s="3"/>
      <c r="M571" s="4"/>
      <c r="N571" s="5"/>
      <c r="S571" s="4"/>
      <c r="T571" s="5"/>
      <c r="V571" s="5"/>
    </row>
    <row r="572" ht="15.75" customHeight="1">
      <c r="D572" s="3"/>
      <c r="M572" s="4"/>
      <c r="N572" s="5"/>
      <c r="S572" s="4"/>
      <c r="T572" s="5"/>
      <c r="V572" s="5"/>
    </row>
    <row r="573" ht="15.75" customHeight="1">
      <c r="D573" s="3"/>
      <c r="M573" s="4"/>
      <c r="N573" s="5"/>
      <c r="S573" s="4"/>
      <c r="T573" s="5"/>
      <c r="V573" s="5"/>
    </row>
    <row r="574" ht="15.75" customHeight="1">
      <c r="D574" s="3"/>
      <c r="M574" s="4"/>
      <c r="N574" s="5"/>
      <c r="S574" s="4"/>
      <c r="T574" s="5"/>
      <c r="V574" s="5"/>
    </row>
    <row r="575" ht="15.75" customHeight="1">
      <c r="D575" s="3"/>
      <c r="M575" s="4"/>
      <c r="N575" s="5"/>
      <c r="S575" s="4"/>
      <c r="T575" s="5"/>
      <c r="V575" s="5"/>
    </row>
    <row r="576" ht="15.75" customHeight="1">
      <c r="D576" s="3"/>
      <c r="M576" s="4"/>
      <c r="N576" s="5"/>
      <c r="S576" s="4"/>
      <c r="T576" s="5"/>
      <c r="V576" s="5"/>
    </row>
    <row r="577" ht="15.75" customHeight="1">
      <c r="D577" s="3"/>
      <c r="M577" s="4"/>
      <c r="N577" s="5"/>
      <c r="S577" s="4"/>
      <c r="T577" s="5"/>
      <c r="V577" s="5"/>
    </row>
    <row r="578" ht="15.75" customHeight="1">
      <c r="D578" s="3"/>
      <c r="M578" s="4"/>
      <c r="N578" s="5"/>
      <c r="S578" s="4"/>
      <c r="T578" s="5"/>
      <c r="V578" s="5"/>
    </row>
    <row r="579" ht="15.75" customHeight="1">
      <c r="D579" s="3"/>
      <c r="M579" s="4"/>
      <c r="N579" s="5"/>
      <c r="S579" s="4"/>
      <c r="T579" s="5"/>
      <c r="V579" s="5"/>
    </row>
    <row r="580" ht="15.75" customHeight="1">
      <c r="D580" s="3"/>
      <c r="M580" s="4"/>
      <c r="N580" s="5"/>
      <c r="S580" s="4"/>
      <c r="T580" s="5"/>
      <c r="V580" s="5"/>
    </row>
    <row r="581" ht="15.75" customHeight="1">
      <c r="D581" s="3"/>
      <c r="M581" s="4"/>
      <c r="N581" s="5"/>
      <c r="S581" s="4"/>
      <c r="T581" s="5"/>
      <c r="V581" s="5"/>
    </row>
    <row r="582" ht="15.75" customHeight="1">
      <c r="D582" s="3"/>
      <c r="M582" s="4"/>
      <c r="N582" s="5"/>
      <c r="S582" s="4"/>
      <c r="T582" s="5"/>
      <c r="V582" s="5"/>
    </row>
    <row r="583" ht="15.75" customHeight="1">
      <c r="D583" s="3"/>
      <c r="M583" s="4"/>
      <c r="N583" s="5"/>
      <c r="S583" s="4"/>
      <c r="T583" s="5"/>
      <c r="V583" s="5"/>
    </row>
    <row r="584" ht="15.75" customHeight="1">
      <c r="D584" s="3"/>
      <c r="M584" s="4"/>
      <c r="N584" s="5"/>
      <c r="S584" s="4"/>
      <c r="T584" s="5"/>
      <c r="V584" s="5"/>
    </row>
    <row r="585" ht="15.75" customHeight="1">
      <c r="D585" s="3"/>
      <c r="M585" s="4"/>
      <c r="N585" s="5"/>
      <c r="S585" s="4"/>
      <c r="T585" s="5"/>
      <c r="V585" s="5"/>
    </row>
    <row r="586" ht="15.75" customHeight="1">
      <c r="D586" s="3"/>
      <c r="M586" s="4"/>
      <c r="N586" s="5"/>
      <c r="S586" s="4"/>
      <c r="T586" s="5"/>
      <c r="V586" s="5"/>
    </row>
    <row r="587" ht="15.75" customHeight="1">
      <c r="D587" s="3"/>
      <c r="M587" s="4"/>
      <c r="N587" s="5"/>
      <c r="S587" s="4"/>
      <c r="T587" s="5"/>
      <c r="V587" s="5"/>
    </row>
    <row r="588" ht="15.75" customHeight="1">
      <c r="D588" s="3"/>
      <c r="M588" s="4"/>
      <c r="N588" s="5"/>
      <c r="S588" s="4"/>
      <c r="T588" s="5"/>
      <c r="V588" s="5"/>
    </row>
    <row r="589" ht="15.75" customHeight="1">
      <c r="D589" s="3"/>
      <c r="M589" s="4"/>
      <c r="N589" s="5"/>
      <c r="S589" s="4"/>
      <c r="T589" s="5"/>
      <c r="V589" s="5"/>
    </row>
    <row r="590" ht="15.75" customHeight="1">
      <c r="D590" s="3"/>
      <c r="M590" s="4"/>
      <c r="N590" s="5"/>
      <c r="S590" s="4"/>
      <c r="T590" s="5"/>
      <c r="V590" s="5"/>
    </row>
    <row r="591" ht="15.75" customHeight="1">
      <c r="D591" s="3"/>
      <c r="M591" s="4"/>
      <c r="N591" s="5"/>
      <c r="S591" s="4"/>
      <c r="T591" s="5"/>
      <c r="V591" s="5"/>
    </row>
    <row r="592" ht="15.75" customHeight="1">
      <c r="D592" s="3"/>
      <c r="M592" s="4"/>
      <c r="N592" s="5"/>
      <c r="S592" s="4"/>
      <c r="T592" s="5"/>
      <c r="V592" s="5"/>
    </row>
    <row r="593" ht="15.75" customHeight="1">
      <c r="D593" s="3"/>
      <c r="M593" s="4"/>
      <c r="N593" s="5"/>
      <c r="S593" s="4"/>
      <c r="T593" s="5"/>
      <c r="V593" s="5"/>
    </row>
    <row r="594" ht="15.75" customHeight="1">
      <c r="D594" s="3"/>
      <c r="M594" s="4"/>
      <c r="N594" s="5"/>
      <c r="S594" s="4"/>
      <c r="T594" s="5"/>
      <c r="V594" s="5"/>
    </row>
    <row r="595" ht="15.75" customHeight="1">
      <c r="D595" s="3"/>
      <c r="M595" s="4"/>
      <c r="N595" s="5"/>
      <c r="S595" s="4"/>
      <c r="T595" s="5"/>
      <c r="V595" s="5"/>
    </row>
    <row r="596" ht="15.75" customHeight="1">
      <c r="D596" s="3"/>
      <c r="M596" s="4"/>
      <c r="N596" s="5"/>
      <c r="S596" s="4"/>
      <c r="T596" s="5"/>
      <c r="V596" s="5"/>
    </row>
    <row r="597" ht="15.75" customHeight="1">
      <c r="D597" s="3"/>
      <c r="M597" s="4"/>
      <c r="N597" s="5"/>
      <c r="S597" s="4"/>
      <c r="T597" s="5"/>
      <c r="V597" s="5"/>
    </row>
    <row r="598" ht="15.75" customHeight="1">
      <c r="D598" s="3"/>
      <c r="M598" s="4"/>
      <c r="N598" s="5"/>
      <c r="S598" s="4"/>
      <c r="T598" s="5"/>
      <c r="V598" s="5"/>
    </row>
    <row r="599" ht="15.75" customHeight="1">
      <c r="D599" s="3"/>
      <c r="M599" s="4"/>
      <c r="N599" s="5"/>
      <c r="S599" s="4"/>
      <c r="T599" s="5"/>
      <c r="V599" s="5"/>
    </row>
    <row r="600" ht="15.75" customHeight="1">
      <c r="D600" s="3"/>
      <c r="M600" s="4"/>
      <c r="N600" s="5"/>
      <c r="S600" s="4"/>
      <c r="T600" s="5"/>
      <c r="V600" s="5"/>
    </row>
    <row r="601" ht="15.75" customHeight="1">
      <c r="D601" s="3"/>
      <c r="M601" s="4"/>
      <c r="N601" s="5"/>
      <c r="S601" s="4"/>
      <c r="T601" s="5"/>
      <c r="V601" s="5"/>
    </row>
    <row r="602" ht="15.75" customHeight="1">
      <c r="D602" s="3"/>
      <c r="M602" s="4"/>
      <c r="N602" s="5"/>
      <c r="S602" s="4"/>
      <c r="T602" s="5"/>
      <c r="V602" s="5"/>
    </row>
    <row r="603" ht="15.75" customHeight="1">
      <c r="D603" s="3"/>
      <c r="M603" s="4"/>
      <c r="N603" s="5"/>
      <c r="S603" s="4"/>
      <c r="T603" s="5"/>
      <c r="V603" s="5"/>
    </row>
    <row r="604" ht="15.75" customHeight="1">
      <c r="D604" s="3"/>
      <c r="M604" s="4"/>
      <c r="N604" s="5"/>
      <c r="S604" s="4"/>
      <c r="T604" s="5"/>
      <c r="V604" s="5"/>
    </row>
    <row r="605" ht="15.75" customHeight="1">
      <c r="D605" s="3"/>
      <c r="M605" s="4"/>
      <c r="N605" s="5"/>
      <c r="S605" s="4"/>
      <c r="T605" s="5"/>
      <c r="V605" s="5"/>
    </row>
    <row r="606" ht="15.75" customHeight="1">
      <c r="D606" s="3"/>
      <c r="M606" s="4"/>
      <c r="N606" s="5"/>
      <c r="S606" s="4"/>
      <c r="T606" s="5"/>
      <c r="V606" s="5"/>
    </row>
    <row r="607" ht="15.75" customHeight="1">
      <c r="D607" s="3"/>
      <c r="M607" s="4"/>
      <c r="N607" s="5"/>
      <c r="S607" s="4"/>
      <c r="T607" s="5"/>
      <c r="V607" s="5"/>
    </row>
    <row r="608" ht="15.75" customHeight="1">
      <c r="D608" s="3"/>
      <c r="M608" s="4"/>
      <c r="N608" s="5"/>
      <c r="S608" s="4"/>
      <c r="T608" s="5"/>
      <c r="V608" s="5"/>
    </row>
    <row r="609" ht="15.75" customHeight="1">
      <c r="D609" s="3"/>
      <c r="M609" s="4"/>
      <c r="N609" s="5"/>
      <c r="S609" s="4"/>
      <c r="T609" s="5"/>
      <c r="V609" s="5"/>
    </row>
    <row r="610" ht="15.75" customHeight="1">
      <c r="D610" s="3"/>
      <c r="M610" s="4"/>
      <c r="N610" s="5"/>
      <c r="S610" s="4"/>
      <c r="T610" s="5"/>
      <c r="V610" s="5"/>
    </row>
    <row r="611" ht="15.75" customHeight="1">
      <c r="D611" s="3"/>
      <c r="M611" s="4"/>
      <c r="N611" s="5"/>
      <c r="S611" s="4"/>
      <c r="T611" s="5"/>
      <c r="V611" s="5"/>
    </row>
    <row r="612" ht="15.75" customHeight="1">
      <c r="D612" s="3"/>
      <c r="M612" s="4"/>
      <c r="N612" s="5"/>
      <c r="S612" s="4"/>
      <c r="T612" s="5"/>
      <c r="V612" s="5"/>
    </row>
    <row r="613" ht="15.75" customHeight="1">
      <c r="D613" s="3"/>
      <c r="M613" s="4"/>
      <c r="N613" s="5"/>
      <c r="S613" s="4"/>
      <c r="T613" s="5"/>
      <c r="V613" s="5"/>
    </row>
    <row r="614" ht="15.75" customHeight="1">
      <c r="D614" s="3"/>
      <c r="M614" s="4"/>
      <c r="N614" s="5"/>
      <c r="S614" s="4"/>
      <c r="T614" s="5"/>
      <c r="V614" s="5"/>
    </row>
    <row r="615" ht="15.75" customHeight="1">
      <c r="D615" s="3"/>
      <c r="M615" s="4"/>
      <c r="N615" s="5"/>
      <c r="S615" s="4"/>
      <c r="T615" s="5"/>
      <c r="V615" s="5"/>
    </row>
    <row r="616" ht="15.75" customHeight="1">
      <c r="D616" s="3"/>
      <c r="M616" s="4"/>
      <c r="N616" s="5"/>
      <c r="S616" s="4"/>
      <c r="T616" s="5"/>
      <c r="V616" s="5"/>
    </row>
    <row r="617" ht="15.75" customHeight="1">
      <c r="D617" s="3"/>
      <c r="M617" s="4"/>
      <c r="N617" s="5"/>
      <c r="S617" s="4"/>
      <c r="T617" s="5"/>
      <c r="V617" s="5"/>
    </row>
    <row r="618" ht="15.75" customHeight="1">
      <c r="D618" s="3"/>
      <c r="M618" s="4"/>
      <c r="N618" s="5"/>
      <c r="S618" s="4"/>
      <c r="T618" s="5"/>
      <c r="V618" s="5"/>
    </row>
    <row r="619" ht="15.75" customHeight="1">
      <c r="D619" s="3"/>
      <c r="M619" s="4"/>
      <c r="N619" s="5"/>
      <c r="S619" s="4"/>
      <c r="T619" s="5"/>
      <c r="V619" s="5"/>
    </row>
    <row r="620" ht="15.75" customHeight="1">
      <c r="D620" s="3"/>
      <c r="M620" s="4"/>
      <c r="N620" s="5"/>
      <c r="S620" s="4"/>
      <c r="T620" s="5"/>
      <c r="V620" s="5"/>
    </row>
    <row r="621" ht="15.75" customHeight="1">
      <c r="D621" s="3"/>
      <c r="M621" s="4"/>
      <c r="N621" s="5"/>
      <c r="S621" s="4"/>
      <c r="T621" s="5"/>
      <c r="V621" s="5"/>
    </row>
    <row r="622" ht="15.75" customHeight="1">
      <c r="D622" s="3"/>
      <c r="M622" s="4"/>
      <c r="N622" s="5"/>
      <c r="S622" s="4"/>
      <c r="T622" s="5"/>
      <c r="V622" s="5"/>
    </row>
    <row r="623" ht="15.75" customHeight="1">
      <c r="D623" s="3"/>
      <c r="M623" s="4"/>
      <c r="N623" s="5"/>
      <c r="S623" s="4"/>
      <c r="T623" s="5"/>
      <c r="V623" s="5"/>
    </row>
    <row r="624" ht="15.75" customHeight="1">
      <c r="D624" s="3"/>
      <c r="M624" s="4"/>
      <c r="N624" s="5"/>
      <c r="S624" s="4"/>
      <c r="T624" s="5"/>
      <c r="V624" s="5"/>
    </row>
    <row r="625" ht="15.75" customHeight="1">
      <c r="D625" s="3"/>
      <c r="M625" s="4"/>
      <c r="N625" s="5"/>
      <c r="S625" s="4"/>
      <c r="T625" s="5"/>
      <c r="V625" s="5"/>
    </row>
    <row r="626" ht="15.75" customHeight="1">
      <c r="D626" s="3"/>
      <c r="M626" s="4"/>
      <c r="N626" s="5"/>
      <c r="S626" s="4"/>
      <c r="T626" s="5"/>
      <c r="V626" s="5"/>
    </row>
    <row r="627" ht="15.75" customHeight="1">
      <c r="D627" s="3"/>
      <c r="M627" s="4"/>
      <c r="N627" s="5"/>
      <c r="S627" s="4"/>
      <c r="T627" s="5"/>
      <c r="V627" s="5"/>
    </row>
    <row r="628" ht="15.75" customHeight="1">
      <c r="D628" s="3"/>
      <c r="M628" s="4"/>
      <c r="N628" s="5"/>
      <c r="S628" s="4"/>
      <c r="T628" s="5"/>
      <c r="V628" s="5"/>
    </row>
    <row r="629" ht="15.75" customHeight="1">
      <c r="D629" s="3"/>
      <c r="M629" s="4"/>
      <c r="N629" s="5"/>
      <c r="S629" s="4"/>
      <c r="T629" s="5"/>
      <c r="V629" s="5"/>
    </row>
    <row r="630" ht="15.75" customHeight="1">
      <c r="D630" s="3"/>
      <c r="M630" s="4"/>
      <c r="N630" s="5"/>
      <c r="S630" s="4"/>
      <c r="T630" s="5"/>
      <c r="V630" s="5"/>
    </row>
    <row r="631" ht="15.75" customHeight="1">
      <c r="D631" s="3"/>
      <c r="M631" s="4"/>
      <c r="N631" s="5"/>
      <c r="S631" s="4"/>
      <c r="T631" s="5"/>
      <c r="V631" s="5"/>
    </row>
    <row r="632" ht="15.75" customHeight="1">
      <c r="D632" s="3"/>
      <c r="M632" s="4"/>
      <c r="N632" s="5"/>
      <c r="S632" s="4"/>
      <c r="T632" s="5"/>
      <c r="V632" s="5"/>
    </row>
    <row r="633" ht="15.75" customHeight="1">
      <c r="D633" s="3"/>
      <c r="M633" s="4"/>
      <c r="N633" s="5"/>
      <c r="S633" s="4"/>
      <c r="T633" s="5"/>
      <c r="V633" s="5"/>
    </row>
    <row r="634" ht="15.75" customHeight="1">
      <c r="D634" s="3"/>
      <c r="M634" s="4"/>
      <c r="N634" s="5"/>
      <c r="S634" s="4"/>
      <c r="T634" s="5"/>
      <c r="V634" s="5"/>
    </row>
    <row r="635" ht="15.75" customHeight="1">
      <c r="D635" s="3"/>
      <c r="M635" s="4"/>
      <c r="N635" s="5"/>
      <c r="S635" s="4"/>
      <c r="T635" s="5"/>
      <c r="V635" s="5"/>
    </row>
    <row r="636" ht="15.75" customHeight="1">
      <c r="D636" s="3"/>
      <c r="M636" s="4"/>
      <c r="N636" s="5"/>
      <c r="S636" s="4"/>
      <c r="T636" s="5"/>
      <c r="V636" s="5"/>
    </row>
    <row r="637" ht="15.75" customHeight="1">
      <c r="D637" s="3"/>
      <c r="M637" s="4"/>
      <c r="N637" s="5"/>
      <c r="S637" s="4"/>
      <c r="T637" s="5"/>
      <c r="V637" s="5"/>
    </row>
    <row r="638" ht="15.75" customHeight="1">
      <c r="D638" s="3"/>
      <c r="M638" s="4"/>
      <c r="N638" s="5"/>
      <c r="S638" s="4"/>
      <c r="T638" s="5"/>
      <c r="V638" s="5"/>
    </row>
    <row r="639" ht="15.75" customHeight="1">
      <c r="D639" s="3"/>
      <c r="M639" s="4"/>
      <c r="N639" s="5"/>
      <c r="S639" s="4"/>
      <c r="T639" s="5"/>
      <c r="V639" s="5"/>
    </row>
    <row r="640" ht="15.75" customHeight="1">
      <c r="D640" s="3"/>
      <c r="M640" s="4"/>
      <c r="N640" s="5"/>
      <c r="S640" s="4"/>
      <c r="T640" s="5"/>
      <c r="V640" s="5"/>
    </row>
    <row r="641" ht="15.75" customHeight="1">
      <c r="D641" s="3"/>
      <c r="M641" s="4"/>
      <c r="N641" s="5"/>
      <c r="S641" s="4"/>
      <c r="T641" s="5"/>
      <c r="V641" s="5"/>
    </row>
    <row r="642" ht="15.75" customHeight="1">
      <c r="D642" s="3"/>
      <c r="M642" s="4"/>
      <c r="N642" s="5"/>
      <c r="S642" s="4"/>
      <c r="T642" s="5"/>
      <c r="V642" s="5"/>
    </row>
    <row r="643" ht="15.75" customHeight="1">
      <c r="D643" s="3"/>
      <c r="M643" s="4"/>
      <c r="N643" s="5"/>
      <c r="S643" s="4"/>
      <c r="T643" s="5"/>
      <c r="V643" s="5"/>
    </row>
    <row r="644" ht="15.75" customHeight="1">
      <c r="D644" s="3"/>
      <c r="M644" s="4"/>
      <c r="N644" s="5"/>
      <c r="S644" s="4"/>
      <c r="T644" s="5"/>
      <c r="V644" s="5"/>
    </row>
    <row r="645" ht="15.75" customHeight="1">
      <c r="D645" s="3"/>
      <c r="M645" s="4"/>
      <c r="N645" s="5"/>
      <c r="S645" s="4"/>
      <c r="T645" s="5"/>
      <c r="V645" s="5"/>
    </row>
    <row r="646" ht="15.75" customHeight="1">
      <c r="D646" s="3"/>
      <c r="M646" s="4"/>
      <c r="N646" s="5"/>
      <c r="S646" s="4"/>
      <c r="T646" s="5"/>
      <c r="V646" s="5"/>
    </row>
    <row r="647" ht="15.75" customHeight="1">
      <c r="D647" s="3"/>
      <c r="M647" s="4"/>
      <c r="N647" s="5"/>
      <c r="S647" s="4"/>
      <c r="T647" s="5"/>
      <c r="V647" s="5"/>
    </row>
    <row r="648" ht="15.75" customHeight="1">
      <c r="D648" s="3"/>
      <c r="M648" s="4"/>
      <c r="N648" s="5"/>
      <c r="S648" s="4"/>
      <c r="T648" s="5"/>
      <c r="V648" s="5"/>
    </row>
    <row r="649" ht="15.75" customHeight="1">
      <c r="D649" s="3"/>
      <c r="M649" s="4"/>
      <c r="N649" s="5"/>
      <c r="S649" s="4"/>
      <c r="T649" s="5"/>
      <c r="V649" s="5"/>
    </row>
    <row r="650" ht="15.75" customHeight="1">
      <c r="D650" s="3"/>
      <c r="M650" s="4"/>
      <c r="N650" s="5"/>
      <c r="S650" s="4"/>
      <c r="T650" s="5"/>
      <c r="V650" s="5"/>
    </row>
    <row r="651" ht="15.75" customHeight="1">
      <c r="D651" s="3"/>
      <c r="M651" s="4"/>
      <c r="N651" s="5"/>
      <c r="S651" s="4"/>
      <c r="T651" s="5"/>
      <c r="V651" s="5"/>
    </row>
    <row r="652" ht="15.75" customHeight="1">
      <c r="D652" s="3"/>
      <c r="M652" s="4"/>
      <c r="N652" s="5"/>
      <c r="S652" s="4"/>
      <c r="T652" s="5"/>
      <c r="V652" s="5"/>
    </row>
    <row r="653" ht="15.75" customHeight="1">
      <c r="D653" s="3"/>
      <c r="M653" s="4"/>
      <c r="N653" s="5"/>
      <c r="S653" s="4"/>
      <c r="T653" s="5"/>
      <c r="V653" s="5"/>
    </row>
    <row r="654" ht="15.75" customHeight="1">
      <c r="D654" s="3"/>
      <c r="M654" s="4"/>
      <c r="N654" s="5"/>
      <c r="S654" s="4"/>
      <c r="T654" s="5"/>
      <c r="V654" s="5"/>
    </row>
    <row r="655" ht="15.75" customHeight="1">
      <c r="D655" s="3"/>
      <c r="M655" s="4"/>
      <c r="N655" s="5"/>
      <c r="S655" s="4"/>
      <c r="T655" s="5"/>
      <c r="V655" s="5"/>
    </row>
    <row r="656" ht="15.75" customHeight="1">
      <c r="D656" s="3"/>
      <c r="M656" s="4"/>
      <c r="N656" s="5"/>
      <c r="S656" s="4"/>
      <c r="T656" s="5"/>
      <c r="V656" s="5"/>
    </row>
    <row r="657" ht="15.75" customHeight="1">
      <c r="D657" s="3"/>
      <c r="M657" s="4"/>
      <c r="N657" s="5"/>
      <c r="S657" s="4"/>
      <c r="T657" s="5"/>
      <c r="V657" s="5"/>
    </row>
    <row r="658" ht="15.75" customHeight="1">
      <c r="D658" s="3"/>
      <c r="M658" s="4"/>
      <c r="N658" s="5"/>
      <c r="S658" s="4"/>
      <c r="T658" s="5"/>
      <c r="V658" s="5"/>
    </row>
    <row r="659" ht="15.75" customHeight="1">
      <c r="D659" s="3"/>
      <c r="M659" s="4"/>
      <c r="N659" s="5"/>
      <c r="S659" s="4"/>
      <c r="T659" s="5"/>
      <c r="V659" s="5"/>
    </row>
    <row r="660" ht="15.75" customHeight="1">
      <c r="D660" s="3"/>
      <c r="M660" s="4"/>
      <c r="N660" s="5"/>
      <c r="S660" s="4"/>
      <c r="T660" s="5"/>
      <c r="V660" s="5"/>
    </row>
    <row r="661" ht="15.75" customHeight="1">
      <c r="D661" s="3"/>
      <c r="M661" s="4"/>
      <c r="N661" s="5"/>
      <c r="S661" s="4"/>
      <c r="T661" s="5"/>
      <c r="V661" s="5"/>
    </row>
    <row r="662" ht="15.75" customHeight="1">
      <c r="D662" s="3"/>
      <c r="M662" s="4"/>
      <c r="N662" s="5"/>
      <c r="S662" s="4"/>
      <c r="T662" s="5"/>
      <c r="V662" s="5"/>
    </row>
    <row r="663" ht="15.75" customHeight="1">
      <c r="D663" s="3"/>
      <c r="M663" s="4"/>
      <c r="N663" s="5"/>
      <c r="S663" s="4"/>
      <c r="T663" s="5"/>
      <c r="V663" s="5"/>
    </row>
    <row r="664" ht="15.75" customHeight="1">
      <c r="D664" s="3"/>
      <c r="M664" s="4"/>
      <c r="N664" s="5"/>
      <c r="S664" s="4"/>
      <c r="T664" s="5"/>
      <c r="V664" s="5"/>
    </row>
    <row r="665" ht="15.75" customHeight="1">
      <c r="D665" s="3"/>
      <c r="M665" s="4"/>
      <c r="N665" s="5"/>
      <c r="S665" s="4"/>
      <c r="T665" s="5"/>
      <c r="V665" s="5"/>
    </row>
    <row r="666" ht="15.75" customHeight="1">
      <c r="D666" s="3"/>
      <c r="M666" s="4"/>
      <c r="N666" s="5"/>
      <c r="S666" s="4"/>
      <c r="T666" s="5"/>
      <c r="V666" s="5"/>
    </row>
    <row r="667" ht="15.75" customHeight="1">
      <c r="D667" s="3"/>
      <c r="M667" s="4"/>
      <c r="N667" s="5"/>
      <c r="S667" s="4"/>
      <c r="T667" s="5"/>
      <c r="V667" s="5"/>
    </row>
    <row r="668" ht="15.75" customHeight="1">
      <c r="D668" s="3"/>
      <c r="M668" s="4"/>
      <c r="N668" s="5"/>
      <c r="S668" s="4"/>
      <c r="T668" s="5"/>
      <c r="V668" s="5"/>
    </row>
    <row r="669" ht="15.75" customHeight="1">
      <c r="D669" s="3"/>
      <c r="M669" s="4"/>
      <c r="N669" s="5"/>
      <c r="S669" s="4"/>
      <c r="T669" s="5"/>
      <c r="V669" s="5"/>
    </row>
    <row r="670" ht="15.75" customHeight="1">
      <c r="D670" s="3"/>
      <c r="M670" s="4"/>
      <c r="N670" s="5"/>
      <c r="S670" s="4"/>
      <c r="T670" s="5"/>
      <c r="V670" s="5"/>
    </row>
    <row r="671" ht="15.75" customHeight="1">
      <c r="D671" s="3"/>
      <c r="M671" s="4"/>
      <c r="N671" s="5"/>
      <c r="S671" s="4"/>
      <c r="T671" s="5"/>
      <c r="V671" s="5"/>
    </row>
    <row r="672" ht="15.75" customHeight="1">
      <c r="D672" s="3"/>
      <c r="M672" s="4"/>
      <c r="N672" s="5"/>
      <c r="S672" s="4"/>
      <c r="T672" s="5"/>
      <c r="V672" s="5"/>
    </row>
    <row r="673" ht="15.75" customHeight="1">
      <c r="D673" s="3"/>
      <c r="M673" s="4"/>
      <c r="N673" s="5"/>
      <c r="S673" s="4"/>
      <c r="T673" s="5"/>
      <c r="V673" s="5"/>
    </row>
    <row r="674" ht="15.75" customHeight="1">
      <c r="D674" s="3"/>
      <c r="M674" s="4"/>
      <c r="N674" s="5"/>
      <c r="S674" s="4"/>
      <c r="T674" s="5"/>
      <c r="V674" s="5"/>
    </row>
    <row r="675" ht="15.75" customHeight="1">
      <c r="D675" s="3"/>
      <c r="M675" s="4"/>
      <c r="N675" s="5"/>
      <c r="S675" s="4"/>
      <c r="T675" s="5"/>
      <c r="V675" s="5"/>
    </row>
    <row r="676" ht="15.75" customHeight="1">
      <c r="D676" s="3"/>
      <c r="M676" s="4"/>
      <c r="N676" s="5"/>
      <c r="S676" s="4"/>
      <c r="T676" s="5"/>
      <c r="V676" s="5"/>
    </row>
    <row r="677" ht="15.75" customHeight="1">
      <c r="D677" s="3"/>
      <c r="M677" s="4"/>
      <c r="N677" s="5"/>
      <c r="S677" s="4"/>
      <c r="T677" s="5"/>
      <c r="V677" s="5"/>
    </row>
    <row r="678" ht="15.75" customHeight="1">
      <c r="D678" s="3"/>
      <c r="M678" s="4"/>
      <c r="N678" s="5"/>
      <c r="S678" s="4"/>
      <c r="T678" s="5"/>
      <c r="V678" s="5"/>
    </row>
    <row r="679" ht="15.75" customHeight="1">
      <c r="D679" s="3"/>
      <c r="M679" s="4"/>
      <c r="N679" s="5"/>
      <c r="S679" s="4"/>
      <c r="T679" s="5"/>
      <c r="V679" s="5"/>
    </row>
    <row r="680" ht="15.75" customHeight="1">
      <c r="D680" s="3"/>
      <c r="M680" s="4"/>
      <c r="N680" s="5"/>
      <c r="S680" s="4"/>
      <c r="T680" s="5"/>
      <c r="V680" s="5"/>
    </row>
    <row r="681" ht="15.75" customHeight="1">
      <c r="D681" s="3"/>
      <c r="M681" s="4"/>
      <c r="N681" s="5"/>
      <c r="S681" s="4"/>
      <c r="T681" s="5"/>
      <c r="V681" s="5"/>
    </row>
    <row r="682" ht="15.75" customHeight="1">
      <c r="D682" s="3"/>
      <c r="M682" s="4"/>
      <c r="N682" s="5"/>
      <c r="S682" s="4"/>
      <c r="T682" s="5"/>
      <c r="V682" s="5"/>
    </row>
    <row r="683" ht="15.75" customHeight="1">
      <c r="D683" s="3"/>
      <c r="M683" s="4"/>
      <c r="N683" s="5"/>
      <c r="S683" s="4"/>
      <c r="T683" s="5"/>
      <c r="V683" s="5"/>
    </row>
    <row r="684" ht="15.75" customHeight="1">
      <c r="D684" s="3"/>
      <c r="M684" s="4"/>
      <c r="N684" s="5"/>
      <c r="S684" s="4"/>
      <c r="T684" s="5"/>
      <c r="V684" s="5"/>
    </row>
    <row r="685" ht="15.75" customHeight="1">
      <c r="D685" s="3"/>
      <c r="M685" s="4"/>
      <c r="N685" s="5"/>
      <c r="S685" s="4"/>
      <c r="T685" s="5"/>
      <c r="V685" s="5"/>
    </row>
    <row r="686" ht="15.75" customHeight="1">
      <c r="D686" s="3"/>
      <c r="M686" s="4"/>
      <c r="N686" s="5"/>
      <c r="S686" s="4"/>
      <c r="T686" s="5"/>
      <c r="V686" s="5"/>
    </row>
    <row r="687" ht="15.75" customHeight="1">
      <c r="D687" s="3"/>
      <c r="M687" s="4"/>
      <c r="N687" s="5"/>
      <c r="S687" s="4"/>
      <c r="T687" s="5"/>
      <c r="V687" s="5"/>
    </row>
    <row r="688" ht="15.75" customHeight="1">
      <c r="D688" s="3"/>
      <c r="M688" s="4"/>
      <c r="N688" s="5"/>
      <c r="S688" s="4"/>
      <c r="T688" s="5"/>
      <c r="V688" s="5"/>
    </row>
    <row r="689" ht="15.75" customHeight="1">
      <c r="D689" s="3"/>
      <c r="M689" s="4"/>
      <c r="N689" s="5"/>
      <c r="S689" s="4"/>
      <c r="T689" s="5"/>
      <c r="V689" s="5"/>
    </row>
    <row r="690" ht="15.75" customHeight="1">
      <c r="D690" s="3"/>
      <c r="M690" s="4"/>
      <c r="N690" s="5"/>
      <c r="S690" s="4"/>
      <c r="T690" s="5"/>
      <c r="V690" s="5"/>
    </row>
    <row r="691" ht="15.75" customHeight="1">
      <c r="D691" s="3"/>
      <c r="M691" s="4"/>
      <c r="N691" s="5"/>
      <c r="S691" s="4"/>
      <c r="T691" s="5"/>
      <c r="V691" s="5"/>
    </row>
    <row r="692" ht="15.75" customHeight="1">
      <c r="D692" s="3"/>
      <c r="M692" s="4"/>
      <c r="N692" s="5"/>
      <c r="S692" s="4"/>
      <c r="T692" s="5"/>
      <c r="V692" s="5"/>
    </row>
    <row r="693" ht="15.75" customHeight="1">
      <c r="D693" s="3"/>
      <c r="M693" s="4"/>
      <c r="N693" s="5"/>
      <c r="S693" s="4"/>
      <c r="T693" s="5"/>
      <c r="V693" s="5"/>
    </row>
    <row r="694" ht="15.75" customHeight="1">
      <c r="D694" s="3"/>
      <c r="M694" s="4"/>
      <c r="N694" s="5"/>
      <c r="S694" s="4"/>
      <c r="T694" s="5"/>
      <c r="V694" s="5"/>
    </row>
    <row r="695" ht="15.75" customHeight="1">
      <c r="D695" s="3"/>
      <c r="M695" s="4"/>
      <c r="N695" s="5"/>
      <c r="S695" s="4"/>
      <c r="T695" s="5"/>
      <c r="V695" s="5"/>
    </row>
    <row r="696" ht="15.75" customHeight="1">
      <c r="D696" s="3"/>
      <c r="M696" s="4"/>
      <c r="N696" s="5"/>
      <c r="S696" s="4"/>
      <c r="T696" s="5"/>
      <c r="V696" s="5"/>
    </row>
    <row r="697" ht="15.75" customHeight="1">
      <c r="D697" s="3"/>
      <c r="M697" s="4"/>
      <c r="N697" s="5"/>
      <c r="S697" s="4"/>
      <c r="T697" s="5"/>
      <c r="V697" s="5"/>
    </row>
    <row r="698" ht="15.75" customHeight="1">
      <c r="D698" s="3"/>
      <c r="M698" s="4"/>
      <c r="N698" s="5"/>
      <c r="S698" s="4"/>
      <c r="T698" s="5"/>
      <c r="V698" s="5"/>
    </row>
    <row r="699" ht="15.75" customHeight="1">
      <c r="D699" s="3"/>
      <c r="M699" s="4"/>
      <c r="N699" s="5"/>
      <c r="S699" s="4"/>
      <c r="T699" s="5"/>
      <c r="V699" s="5"/>
    </row>
    <row r="700" ht="15.75" customHeight="1">
      <c r="D700" s="3"/>
      <c r="M700" s="4"/>
      <c r="N700" s="5"/>
      <c r="S700" s="4"/>
      <c r="T700" s="5"/>
      <c r="V700" s="5"/>
    </row>
    <row r="701" ht="15.75" customHeight="1">
      <c r="D701" s="3"/>
      <c r="M701" s="4"/>
      <c r="N701" s="5"/>
      <c r="S701" s="4"/>
      <c r="T701" s="5"/>
      <c r="V701" s="5"/>
    </row>
    <row r="702" ht="15.75" customHeight="1">
      <c r="D702" s="3"/>
      <c r="M702" s="4"/>
      <c r="N702" s="5"/>
      <c r="S702" s="4"/>
      <c r="T702" s="5"/>
      <c r="V702" s="5"/>
    </row>
    <row r="703" ht="15.75" customHeight="1">
      <c r="D703" s="3"/>
      <c r="M703" s="4"/>
      <c r="N703" s="5"/>
      <c r="S703" s="4"/>
      <c r="T703" s="5"/>
      <c r="V703" s="5"/>
    </row>
    <row r="704" ht="15.75" customHeight="1">
      <c r="D704" s="3"/>
      <c r="M704" s="4"/>
      <c r="N704" s="5"/>
      <c r="S704" s="4"/>
      <c r="T704" s="5"/>
      <c r="V704" s="5"/>
    </row>
    <row r="705" ht="15.75" customHeight="1">
      <c r="D705" s="3"/>
      <c r="M705" s="4"/>
      <c r="N705" s="5"/>
      <c r="S705" s="4"/>
      <c r="T705" s="5"/>
      <c r="V705" s="5"/>
    </row>
    <row r="706" ht="15.75" customHeight="1">
      <c r="D706" s="3"/>
      <c r="M706" s="4"/>
      <c r="N706" s="5"/>
      <c r="S706" s="4"/>
      <c r="T706" s="5"/>
      <c r="V706" s="5"/>
    </row>
    <row r="707" ht="15.75" customHeight="1">
      <c r="D707" s="3"/>
      <c r="M707" s="4"/>
      <c r="N707" s="5"/>
      <c r="S707" s="4"/>
      <c r="T707" s="5"/>
      <c r="V707" s="5"/>
    </row>
    <row r="708" ht="15.75" customHeight="1">
      <c r="D708" s="3"/>
      <c r="M708" s="4"/>
      <c r="N708" s="5"/>
      <c r="S708" s="4"/>
      <c r="T708" s="5"/>
      <c r="V708" s="5"/>
    </row>
    <row r="709" ht="15.75" customHeight="1">
      <c r="D709" s="3"/>
      <c r="M709" s="4"/>
      <c r="N709" s="5"/>
      <c r="S709" s="4"/>
      <c r="T709" s="5"/>
      <c r="V709" s="5"/>
    </row>
    <row r="710" ht="15.75" customHeight="1">
      <c r="D710" s="3"/>
      <c r="M710" s="4"/>
      <c r="N710" s="5"/>
      <c r="S710" s="4"/>
      <c r="T710" s="5"/>
      <c r="V710" s="5"/>
    </row>
    <row r="711" ht="15.75" customHeight="1">
      <c r="D711" s="3"/>
      <c r="M711" s="4"/>
      <c r="N711" s="5"/>
      <c r="S711" s="4"/>
      <c r="T711" s="5"/>
      <c r="V711" s="5"/>
    </row>
    <row r="712" ht="15.75" customHeight="1">
      <c r="D712" s="3"/>
      <c r="M712" s="4"/>
      <c r="N712" s="5"/>
      <c r="S712" s="4"/>
      <c r="T712" s="5"/>
      <c r="V712" s="5"/>
    </row>
    <row r="713" ht="15.75" customHeight="1">
      <c r="D713" s="3"/>
      <c r="M713" s="4"/>
      <c r="N713" s="5"/>
      <c r="S713" s="4"/>
      <c r="T713" s="5"/>
      <c r="V713" s="5"/>
    </row>
    <row r="714" ht="15.75" customHeight="1">
      <c r="D714" s="3"/>
      <c r="M714" s="4"/>
      <c r="N714" s="5"/>
      <c r="S714" s="4"/>
      <c r="T714" s="5"/>
      <c r="V714" s="5"/>
    </row>
    <row r="715" ht="15.75" customHeight="1">
      <c r="D715" s="3"/>
      <c r="M715" s="4"/>
      <c r="N715" s="5"/>
      <c r="S715" s="4"/>
      <c r="T715" s="5"/>
      <c r="V715" s="5"/>
    </row>
    <row r="716" ht="15.75" customHeight="1">
      <c r="D716" s="3"/>
      <c r="M716" s="4"/>
      <c r="N716" s="5"/>
      <c r="S716" s="4"/>
      <c r="T716" s="5"/>
      <c r="V716" s="5"/>
    </row>
    <row r="717" ht="15.75" customHeight="1">
      <c r="D717" s="3"/>
      <c r="M717" s="4"/>
      <c r="N717" s="5"/>
      <c r="S717" s="4"/>
      <c r="T717" s="5"/>
      <c r="V717" s="5"/>
    </row>
    <row r="718" ht="15.75" customHeight="1">
      <c r="D718" s="3"/>
      <c r="M718" s="4"/>
      <c r="N718" s="5"/>
      <c r="S718" s="4"/>
      <c r="T718" s="5"/>
      <c r="V718" s="5"/>
    </row>
    <row r="719" ht="15.75" customHeight="1">
      <c r="D719" s="3"/>
      <c r="M719" s="4"/>
      <c r="N719" s="5"/>
      <c r="S719" s="4"/>
      <c r="T719" s="5"/>
      <c r="V719" s="5"/>
    </row>
    <row r="720" ht="15.75" customHeight="1">
      <c r="D720" s="3"/>
      <c r="M720" s="4"/>
      <c r="N720" s="5"/>
      <c r="S720" s="4"/>
      <c r="T720" s="5"/>
      <c r="V720" s="5"/>
    </row>
    <row r="721" ht="15.75" customHeight="1">
      <c r="D721" s="3"/>
      <c r="M721" s="4"/>
      <c r="N721" s="5"/>
      <c r="S721" s="4"/>
      <c r="T721" s="5"/>
      <c r="V721" s="5"/>
    </row>
    <row r="722" ht="15.75" customHeight="1">
      <c r="D722" s="3"/>
      <c r="M722" s="4"/>
      <c r="N722" s="5"/>
      <c r="S722" s="4"/>
      <c r="T722" s="5"/>
      <c r="V722" s="5"/>
    </row>
    <row r="723" ht="15.75" customHeight="1">
      <c r="D723" s="3"/>
      <c r="M723" s="4"/>
      <c r="N723" s="5"/>
      <c r="S723" s="4"/>
      <c r="T723" s="5"/>
      <c r="V723" s="5"/>
    </row>
    <row r="724" ht="15.75" customHeight="1">
      <c r="D724" s="3"/>
      <c r="M724" s="4"/>
      <c r="N724" s="5"/>
      <c r="S724" s="4"/>
      <c r="T724" s="5"/>
      <c r="V724" s="5"/>
    </row>
    <row r="725" ht="15.75" customHeight="1">
      <c r="D725" s="3"/>
      <c r="M725" s="4"/>
      <c r="N725" s="5"/>
      <c r="S725" s="4"/>
      <c r="T725" s="5"/>
      <c r="V725" s="5"/>
    </row>
    <row r="726" ht="15.75" customHeight="1">
      <c r="D726" s="3"/>
      <c r="M726" s="4"/>
      <c r="N726" s="5"/>
      <c r="S726" s="4"/>
      <c r="T726" s="5"/>
      <c r="V726" s="5"/>
    </row>
    <row r="727" ht="15.75" customHeight="1">
      <c r="D727" s="3"/>
      <c r="M727" s="4"/>
      <c r="N727" s="5"/>
      <c r="S727" s="4"/>
      <c r="T727" s="5"/>
      <c r="V727" s="5"/>
    </row>
    <row r="728" ht="15.75" customHeight="1">
      <c r="D728" s="3"/>
      <c r="M728" s="4"/>
      <c r="N728" s="5"/>
      <c r="S728" s="4"/>
      <c r="T728" s="5"/>
      <c r="V728" s="5"/>
    </row>
    <row r="729" ht="15.75" customHeight="1">
      <c r="D729" s="3"/>
      <c r="M729" s="4"/>
      <c r="N729" s="5"/>
      <c r="S729" s="4"/>
      <c r="T729" s="5"/>
      <c r="V729" s="5"/>
    </row>
    <row r="730" ht="15.75" customHeight="1">
      <c r="D730" s="3"/>
      <c r="M730" s="4"/>
      <c r="N730" s="5"/>
      <c r="S730" s="4"/>
      <c r="T730" s="5"/>
      <c r="V730" s="5"/>
    </row>
    <row r="731" ht="15.75" customHeight="1">
      <c r="D731" s="3"/>
      <c r="M731" s="4"/>
      <c r="N731" s="5"/>
      <c r="S731" s="4"/>
      <c r="T731" s="5"/>
      <c r="V731" s="5"/>
    </row>
    <row r="732" ht="15.75" customHeight="1">
      <c r="D732" s="3"/>
      <c r="M732" s="4"/>
      <c r="N732" s="5"/>
      <c r="S732" s="4"/>
      <c r="T732" s="5"/>
      <c r="V732" s="5"/>
    </row>
    <row r="733" ht="15.75" customHeight="1">
      <c r="D733" s="3"/>
      <c r="M733" s="4"/>
      <c r="N733" s="5"/>
      <c r="S733" s="4"/>
      <c r="T733" s="5"/>
      <c r="V733" s="5"/>
    </row>
    <row r="734" ht="15.75" customHeight="1">
      <c r="D734" s="3"/>
      <c r="M734" s="4"/>
      <c r="N734" s="5"/>
      <c r="S734" s="4"/>
      <c r="T734" s="5"/>
      <c r="V734" s="5"/>
    </row>
    <row r="735" ht="15.75" customHeight="1">
      <c r="D735" s="3"/>
      <c r="M735" s="4"/>
      <c r="N735" s="5"/>
      <c r="S735" s="4"/>
      <c r="T735" s="5"/>
      <c r="V735" s="5"/>
    </row>
    <row r="736" ht="15.75" customHeight="1">
      <c r="D736" s="3"/>
      <c r="M736" s="4"/>
      <c r="N736" s="5"/>
      <c r="S736" s="4"/>
      <c r="T736" s="5"/>
      <c r="V736" s="5"/>
    </row>
    <row r="737" ht="15.75" customHeight="1">
      <c r="D737" s="3"/>
      <c r="M737" s="4"/>
      <c r="N737" s="5"/>
      <c r="S737" s="4"/>
      <c r="T737" s="5"/>
      <c r="V737" s="5"/>
    </row>
    <row r="738" ht="15.75" customHeight="1">
      <c r="D738" s="3"/>
      <c r="M738" s="4"/>
      <c r="N738" s="5"/>
      <c r="S738" s="4"/>
      <c r="T738" s="5"/>
      <c r="V738" s="5"/>
    </row>
    <row r="739" ht="15.75" customHeight="1">
      <c r="D739" s="3"/>
      <c r="M739" s="4"/>
      <c r="N739" s="5"/>
      <c r="S739" s="4"/>
      <c r="T739" s="5"/>
      <c r="V739" s="5"/>
    </row>
    <row r="740" ht="15.75" customHeight="1">
      <c r="D740" s="3"/>
      <c r="M740" s="4"/>
      <c r="N740" s="5"/>
      <c r="S740" s="4"/>
      <c r="T740" s="5"/>
      <c r="V740" s="5"/>
    </row>
    <row r="741" ht="15.75" customHeight="1">
      <c r="D741" s="3"/>
      <c r="M741" s="4"/>
      <c r="N741" s="5"/>
      <c r="S741" s="4"/>
      <c r="T741" s="5"/>
      <c r="V741" s="5"/>
    </row>
    <row r="742" ht="15.75" customHeight="1">
      <c r="D742" s="3"/>
      <c r="M742" s="4"/>
      <c r="N742" s="5"/>
      <c r="S742" s="4"/>
      <c r="T742" s="5"/>
      <c r="V742" s="5"/>
    </row>
    <row r="743" ht="15.75" customHeight="1">
      <c r="D743" s="3"/>
      <c r="M743" s="4"/>
      <c r="N743" s="5"/>
      <c r="S743" s="4"/>
      <c r="T743" s="5"/>
      <c r="V743" s="5"/>
    </row>
    <row r="744" ht="15.75" customHeight="1">
      <c r="D744" s="3"/>
      <c r="M744" s="4"/>
      <c r="N744" s="5"/>
      <c r="S744" s="4"/>
      <c r="T744" s="5"/>
      <c r="V744" s="5"/>
    </row>
    <row r="745" ht="15.75" customHeight="1">
      <c r="D745" s="3"/>
      <c r="M745" s="4"/>
      <c r="N745" s="5"/>
      <c r="S745" s="4"/>
      <c r="T745" s="5"/>
      <c r="V745" s="5"/>
    </row>
    <row r="746" ht="15.75" customHeight="1">
      <c r="D746" s="3"/>
      <c r="M746" s="4"/>
      <c r="N746" s="5"/>
      <c r="S746" s="4"/>
      <c r="T746" s="5"/>
      <c r="V746" s="5"/>
    </row>
    <row r="747" ht="15.75" customHeight="1">
      <c r="D747" s="3"/>
      <c r="M747" s="4"/>
      <c r="N747" s="5"/>
      <c r="S747" s="4"/>
      <c r="T747" s="5"/>
      <c r="V747" s="5"/>
    </row>
    <row r="748" ht="15.75" customHeight="1">
      <c r="D748" s="3"/>
      <c r="M748" s="4"/>
      <c r="N748" s="5"/>
      <c r="S748" s="4"/>
      <c r="T748" s="5"/>
      <c r="V748" s="5"/>
    </row>
    <row r="749" ht="15.75" customHeight="1">
      <c r="D749" s="3"/>
      <c r="M749" s="4"/>
      <c r="N749" s="5"/>
      <c r="S749" s="4"/>
      <c r="T749" s="5"/>
      <c r="V749" s="5"/>
    </row>
    <row r="750" ht="15.75" customHeight="1">
      <c r="D750" s="3"/>
      <c r="M750" s="4"/>
      <c r="N750" s="5"/>
      <c r="S750" s="4"/>
      <c r="T750" s="5"/>
      <c r="V750" s="5"/>
    </row>
    <row r="751" ht="15.75" customHeight="1">
      <c r="D751" s="3"/>
      <c r="M751" s="4"/>
      <c r="N751" s="5"/>
      <c r="S751" s="4"/>
      <c r="T751" s="5"/>
      <c r="V751" s="5"/>
    </row>
    <row r="752" ht="15.75" customHeight="1">
      <c r="D752" s="3"/>
      <c r="M752" s="4"/>
      <c r="N752" s="5"/>
      <c r="S752" s="4"/>
      <c r="T752" s="5"/>
      <c r="V752" s="5"/>
    </row>
    <row r="753" ht="15.75" customHeight="1">
      <c r="D753" s="3"/>
      <c r="M753" s="4"/>
      <c r="N753" s="5"/>
      <c r="S753" s="4"/>
      <c r="T753" s="5"/>
      <c r="V753" s="5"/>
    </row>
    <row r="754" ht="15.75" customHeight="1">
      <c r="D754" s="3"/>
      <c r="M754" s="4"/>
      <c r="N754" s="5"/>
      <c r="S754" s="4"/>
      <c r="T754" s="5"/>
      <c r="V754" s="5"/>
    </row>
    <row r="755" ht="15.75" customHeight="1">
      <c r="D755" s="3"/>
      <c r="M755" s="4"/>
      <c r="N755" s="5"/>
      <c r="S755" s="4"/>
      <c r="T755" s="5"/>
      <c r="V755" s="5"/>
    </row>
    <row r="756" ht="15.75" customHeight="1">
      <c r="D756" s="3"/>
      <c r="M756" s="4"/>
      <c r="N756" s="5"/>
      <c r="S756" s="4"/>
      <c r="T756" s="5"/>
      <c r="V756" s="5"/>
    </row>
    <row r="757" ht="15.75" customHeight="1">
      <c r="D757" s="3"/>
      <c r="M757" s="4"/>
      <c r="N757" s="5"/>
      <c r="S757" s="4"/>
      <c r="T757" s="5"/>
      <c r="V757" s="5"/>
    </row>
    <row r="758" ht="15.75" customHeight="1">
      <c r="D758" s="3"/>
      <c r="M758" s="4"/>
      <c r="N758" s="5"/>
      <c r="S758" s="4"/>
      <c r="T758" s="5"/>
      <c r="V758" s="5"/>
    </row>
    <row r="759" ht="15.75" customHeight="1">
      <c r="D759" s="3"/>
      <c r="M759" s="4"/>
      <c r="N759" s="5"/>
      <c r="S759" s="4"/>
      <c r="T759" s="5"/>
      <c r="V759" s="5"/>
    </row>
    <row r="760" ht="15.75" customHeight="1">
      <c r="D760" s="3"/>
      <c r="M760" s="4"/>
      <c r="N760" s="5"/>
      <c r="S760" s="4"/>
      <c r="T760" s="5"/>
      <c r="V760" s="5"/>
    </row>
    <row r="761" ht="15.75" customHeight="1">
      <c r="D761" s="3"/>
      <c r="M761" s="4"/>
      <c r="N761" s="5"/>
      <c r="S761" s="4"/>
      <c r="T761" s="5"/>
      <c r="V761" s="5"/>
    </row>
    <row r="762" ht="15.75" customHeight="1">
      <c r="D762" s="3"/>
      <c r="M762" s="4"/>
      <c r="N762" s="5"/>
      <c r="S762" s="4"/>
      <c r="T762" s="5"/>
      <c r="V762" s="5"/>
    </row>
    <row r="763" ht="15.75" customHeight="1">
      <c r="D763" s="3"/>
      <c r="M763" s="4"/>
      <c r="N763" s="5"/>
      <c r="S763" s="4"/>
      <c r="T763" s="5"/>
      <c r="V763" s="5"/>
    </row>
    <row r="764" ht="15.75" customHeight="1">
      <c r="D764" s="3"/>
      <c r="M764" s="4"/>
      <c r="N764" s="5"/>
      <c r="S764" s="4"/>
      <c r="T764" s="5"/>
      <c r="V764" s="5"/>
    </row>
    <row r="765" ht="15.75" customHeight="1">
      <c r="D765" s="3"/>
      <c r="M765" s="4"/>
      <c r="N765" s="5"/>
      <c r="S765" s="4"/>
      <c r="T765" s="5"/>
      <c r="V765" s="5"/>
    </row>
    <row r="766" ht="15.75" customHeight="1">
      <c r="D766" s="3"/>
      <c r="M766" s="4"/>
      <c r="N766" s="5"/>
      <c r="S766" s="4"/>
      <c r="T766" s="5"/>
      <c r="V766" s="5"/>
    </row>
    <row r="767" ht="15.75" customHeight="1">
      <c r="D767" s="3"/>
      <c r="M767" s="4"/>
      <c r="N767" s="5"/>
      <c r="S767" s="4"/>
      <c r="T767" s="5"/>
      <c r="V767" s="5"/>
    </row>
    <row r="768" ht="15.75" customHeight="1">
      <c r="D768" s="3"/>
      <c r="M768" s="4"/>
      <c r="N768" s="5"/>
      <c r="S768" s="4"/>
      <c r="T768" s="5"/>
      <c r="V768" s="5"/>
    </row>
    <row r="769" ht="15.75" customHeight="1">
      <c r="D769" s="3"/>
      <c r="M769" s="4"/>
      <c r="N769" s="5"/>
      <c r="S769" s="4"/>
      <c r="T769" s="5"/>
      <c r="V769" s="5"/>
    </row>
    <row r="770" ht="15.75" customHeight="1">
      <c r="D770" s="3"/>
      <c r="M770" s="4"/>
      <c r="N770" s="5"/>
      <c r="S770" s="4"/>
      <c r="T770" s="5"/>
      <c r="V770" s="5"/>
    </row>
    <row r="771" ht="15.75" customHeight="1">
      <c r="D771" s="3"/>
      <c r="M771" s="4"/>
      <c r="N771" s="5"/>
      <c r="S771" s="4"/>
      <c r="T771" s="5"/>
      <c r="V771" s="5"/>
    </row>
    <row r="772" ht="15.75" customHeight="1">
      <c r="D772" s="3"/>
      <c r="M772" s="4"/>
      <c r="N772" s="5"/>
      <c r="S772" s="4"/>
      <c r="T772" s="5"/>
      <c r="V772" s="5"/>
    </row>
    <row r="773" ht="15.75" customHeight="1">
      <c r="D773" s="3"/>
      <c r="M773" s="4"/>
      <c r="N773" s="5"/>
      <c r="S773" s="4"/>
      <c r="T773" s="5"/>
      <c r="V773" s="5"/>
    </row>
    <row r="774" ht="15.75" customHeight="1">
      <c r="D774" s="3"/>
      <c r="M774" s="4"/>
      <c r="N774" s="5"/>
      <c r="S774" s="4"/>
      <c r="T774" s="5"/>
      <c r="V774" s="5"/>
    </row>
    <row r="775" ht="15.75" customHeight="1">
      <c r="D775" s="3"/>
      <c r="M775" s="4"/>
      <c r="N775" s="5"/>
      <c r="S775" s="4"/>
      <c r="T775" s="5"/>
      <c r="V775" s="5"/>
    </row>
    <row r="776" ht="15.75" customHeight="1">
      <c r="D776" s="3"/>
      <c r="M776" s="4"/>
      <c r="N776" s="5"/>
      <c r="S776" s="4"/>
      <c r="T776" s="5"/>
      <c r="V776" s="5"/>
    </row>
    <row r="777" ht="15.75" customHeight="1">
      <c r="D777" s="3"/>
      <c r="M777" s="4"/>
      <c r="N777" s="5"/>
      <c r="S777" s="4"/>
      <c r="T777" s="5"/>
      <c r="V777" s="5"/>
    </row>
    <row r="778" ht="15.75" customHeight="1">
      <c r="D778" s="3"/>
      <c r="M778" s="4"/>
      <c r="N778" s="5"/>
      <c r="S778" s="4"/>
      <c r="T778" s="5"/>
      <c r="V778" s="5"/>
    </row>
    <row r="779" ht="15.75" customHeight="1">
      <c r="D779" s="3"/>
      <c r="M779" s="4"/>
      <c r="N779" s="5"/>
      <c r="S779" s="4"/>
      <c r="T779" s="5"/>
      <c r="V779" s="5"/>
    </row>
    <row r="780" ht="15.75" customHeight="1">
      <c r="D780" s="3"/>
      <c r="M780" s="4"/>
      <c r="N780" s="5"/>
      <c r="S780" s="4"/>
      <c r="T780" s="5"/>
      <c r="V780" s="5"/>
    </row>
    <row r="781" ht="15.75" customHeight="1">
      <c r="D781" s="3"/>
      <c r="M781" s="4"/>
      <c r="N781" s="5"/>
      <c r="S781" s="4"/>
      <c r="T781" s="5"/>
      <c r="V781" s="5"/>
    </row>
    <row r="782" ht="15.75" customHeight="1">
      <c r="D782" s="3"/>
      <c r="M782" s="4"/>
      <c r="N782" s="5"/>
      <c r="S782" s="4"/>
      <c r="T782" s="5"/>
      <c r="V782" s="5"/>
    </row>
    <row r="783" ht="15.75" customHeight="1">
      <c r="D783" s="3"/>
      <c r="M783" s="4"/>
      <c r="N783" s="5"/>
      <c r="S783" s="4"/>
      <c r="T783" s="5"/>
      <c r="V783" s="5"/>
    </row>
    <row r="784" ht="15.75" customHeight="1">
      <c r="D784" s="3"/>
      <c r="M784" s="4"/>
      <c r="N784" s="5"/>
      <c r="S784" s="4"/>
      <c r="T784" s="5"/>
      <c r="V784" s="5"/>
    </row>
    <row r="785" ht="15.75" customHeight="1">
      <c r="D785" s="3"/>
      <c r="M785" s="4"/>
      <c r="N785" s="5"/>
      <c r="S785" s="4"/>
      <c r="T785" s="5"/>
      <c r="V785" s="5"/>
    </row>
    <row r="786" ht="15.75" customHeight="1">
      <c r="D786" s="3"/>
      <c r="M786" s="4"/>
      <c r="N786" s="5"/>
      <c r="S786" s="4"/>
      <c r="T786" s="5"/>
      <c r="V786" s="5"/>
    </row>
    <row r="787" ht="15.75" customHeight="1">
      <c r="D787" s="3"/>
      <c r="M787" s="4"/>
      <c r="N787" s="5"/>
      <c r="S787" s="4"/>
      <c r="T787" s="5"/>
      <c r="V787" s="5"/>
    </row>
    <row r="788" ht="15.75" customHeight="1">
      <c r="D788" s="3"/>
      <c r="M788" s="4"/>
      <c r="N788" s="5"/>
      <c r="S788" s="4"/>
      <c r="T788" s="5"/>
      <c r="V788" s="5"/>
    </row>
    <row r="789" ht="15.75" customHeight="1">
      <c r="D789" s="3"/>
      <c r="M789" s="4"/>
      <c r="N789" s="5"/>
      <c r="S789" s="4"/>
      <c r="T789" s="5"/>
      <c r="V789" s="5"/>
    </row>
    <row r="790" ht="15.75" customHeight="1">
      <c r="D790" s="3"/>
      <c r="M790" s="4"/>
      <c r="N790" s="5"/>
      <c r="S790" s="4"/>
      <c r="T790" s="5"/>
      <c r="V790" s="5"/>
    </row>
    <row r="791" ht="15.75" customHeight="1">
      <c r="D791" s="3"/>
      <c r="M791" s="4"/>
      <c r="N791" s="5"/>
      <c r="S791" s="4"/>
      <c r="T791" s="5"/>
      <c r="V791" s="5"/>
    </row>
    <row r="792" ht="15.75" customHeight="1">
      <c r="D792" s="3"/>
      <c r="M792" s="4"/>
      <c r="N792" s="5"/>
      <c r="S792" s="4"/>
      <c r="T792" s="5"/>
      <c r="V792" s="5"/>
    </row>
    <row r="793" ht="15.75" customHeight="1">
      <c r="D793" s="3"/>
      <c r="M793" s="4"/>
      <c r="N793" s="5"/>
      <c r="S793" s="4"/>
      <c r="T793" s="5"/>
      <c r="V793" s="5"/>
    </row>
    <row r="794" ht="15.75" customHeight="1">
      <c r="D794" s="3"/>
      <c r="M794" s="4"/>
      <c r="N794" s="5"/>
      <c r="S794" s="4"/>
      <c r="T794" s="5"/>
      <c r="V794" s="5"/>
    </row>
    <row r="795" ht="15.75" customHeight="1">
      <c r="D795" s="3"/>
      <c r="M795" s="4"/>
      <c r="N795" s="5"/>
      <c r="S795" s="4"/>
      <c r="T795" s="5"/>
      <c r="V795" s="5"/>
    </row>
    <row r="796" ht="15.75" customHeight="1">
      <c r="D796" s="3"/>
      <c r="M796" s="4"/>
      <c r="N796" s="5"/>
      <c r="S796" s="4"/>
      <c r="T796" s="5"/>
      <c r="V796" s="5"/>
    </row>
    <row r="797" ht="15.75" customHeight="1">
      <c r="D797" s="3"/>
      <c r="M797" s="4"/>
      <c r="N797" s="5"/>
      <c r="S797" s="4"/>
      <c r="T797" s="5"/>
      <c r="V797" s="5"/>
    </row>
    <row r="798" ht="15.75" customHeight="1">
      <c r="D798" s="3"/>
      <c r="M798" s="4"/>
      <c r="N798" s="5"/>
      <c r="S798" s="4"/>
      <c r="T798" s="5"/>
      <c r="V798" s="5"/>
    </row>
    <row r="799" ht="15.75" customHeight="1">
      <c r="D799" s="3"/>
      <c r="M799" s="4"/>
      <c r="N799" s="5"/>
      <c r="S799" s="4"/>
      <c r="T799" s="5"/>
      <c r="V799" s="5"/>
    </row>
    <row r="800" ht="15.75" customHeight="1">
      <c r="D800" s="3"/>
      <c r="M800" s="4"/>
      <c r="N800" s="5"/>
      <c r="S800" s="4"/>
      <c r="T800" s="5"/>
      <c r="V800" s="5"/>
    </row>
    <row r="801" ht="15.75" customHeight="1">
      <c r="D801" s="3"/>
      <c r="M801" s="4"/>
      <c r="N801" s="5"/>
      <c r="S801" s="4"/>
      <c r="T801" s="5"/>
      <c r="V801" s="5"/>
    </row>
    <row r="802" ht="15.75" customHeight="1">
      <c r="D802" s="3"/>
      <c r="M802" s="4"/>
      <c r="N802" s="5"/>
      <c r="S802" s="4"/>
      <c r="T802" s="5"/>
      <c r="V802" s="5"/>
    </row>
    <row r="803" ht="15.75" customHeight="1">
      <c r="D803" s="3"/>
      <c r="M803" s="4"/>
      <c r="N803" s="5"/>
      <c r="S803" s="4"/>
      <c r="T803" s="5"/>
      <c r="V803" s="5"/>
    </row>
    <row r="804" ht="15.75" customHeight="1">
      <c r="D804" s="3"/>
      <c r="M804" s="4"/>
      <c r="N804" s="5"/>
      <c r="S804" s="4"/>
      <c r="T804" s="5"/>
      <c r="V804" s="5"/>
    </row>
    <row r="805" ht="15.75" customHeight="1">
      <c r="D805" s="3"/>
      <c r="M805" s="4"/>
      <c r="N805" s="5"/>
      <c r="S805" s="4"/>
      <c r="T805" s="5"/>
      <c r="V805" s="5"/>
    </row>
    <row r="806" ht="15.75" customHeight="1">
      <c r="D806" s="3"/>
      <c r="M806" s="4"/>
      <c r="N806" s="5"/>
      <c r="S806" s="4"/>
      <c r="T806" s="5"/>
      <c r="V806" s="5"/>
    </row>
    <row r="807" ht="15.75" customHeight="1">
      <c r="D807" s="3"/>
      <c r="M807" s="4"/>
      <c r="N807" s="5"/>
      <c r="S807" s="4"/>
      <c r="T807" s="5"/>
      <c r="V807" s="5"/>
    </row>
    <row r="808" ht="15.75" customHeight="1">
      <c r="D808" s="3"/>
      <c r="M808" s="4"/>
      <c r="N808" s="5"/>
      <c r="S808" s="4"/>
      <c r="T808" s="5"/>
      <c r="V808" s="5"/>
    </row>
    <row r="809" ht="15.75" customHeight="1">
      <c r="D809" s="3"/>
      <c r="M809" s="4"/>
      <c r="N809" s="5"/>
      <c r="S809" s="4"/>
      <c r="T809" s="5"/>
      <c r="V809" s="5"/>
    </row>
    <row r="810" ht="15.75" customHeight="1">
      <c r="D810" s="3"/>
      <c r="M810" s="4"/>
      <c r="N810" s="5"/>
      <c r="S810" s="4"/>
      <c r="T810" s="5"/>
      <c r="V810" s="5"/>
    </row>
    <row r="811" ht="15.75" customHeight="1">
      <c r="D811" s="3"/>
      <c r="M811" s="4"/>
      <c r="N811" s="5"/>
      <c r="S811" s="4"/>
      <c r="T811" s="5"/>
      <c r="V811" s="5"/>
    </row>
    <row r="812" ht="15.75" customHeight="1">
      <c r="D812" s="3"/>
      <c r="M812" s="4"/>
      <c r="N812" s="5"/>
      <c r="S812" s="4"/>
      <c r="T812" s="5"/>
      <c r="V812" s="5"/>
    </row>
    <row r="813" ht="15.75" customHeight="1">
      <c r="D813" s="3"/>
      <c r="M813" s="4"/>
      <c r="N813" s="5"/>
      <c r="S813" s="4"/>
      <c r="T813" s="5"/>
      <c r="V813" s="5"/>
    </row>
    <row r="814" ht="15.75" customHeight="1">
      <c r="D814" s="3"/>
      <c r="M814" s="4"/>
      <c r="N814" s="5"/>
      <c r="S814" s="4"/>
      <c r="T814" s="5"/>
      <c r="V814" s="5"/>
    </row>
    <row r="815" ht="15.75" customHeight="1">
      <c r="D815" s="3"/>
      <c r="M815" s="4"/>
      <c r="N815" s="5"/>
      <c r="S815" s="4"/>
      <c r="T815" s="5"/>
      <c r="V815" s="5"/>
    </row>
    <row r="816" ht="15.75" customHeight="1">
      <c r="D816" s="3"/>
      <c r="M816" s="4"/>
      <c r="N816" s="5"/>
      <c r="S816" s="4"/>
      <c r="T816" s="5"/>
      <c r="V816" s="5"/>
    </row>
    <row r="817" ht="15.75" customHeight="1">
      <c r="D817" s="3"/>
      <c r="M817" s="4"/>
      <c r="N817" s="5"/>
      <c r="S817" s="4"/>
      <c r="T817" s="5"/>
      <c r="V817" s="5"/>
    </row>
    <row r="818" ht="15.75" customHeight="1">
      <c r="D818" s="3"/>
      <c r="M818" s="4"/>
      <c r="N818" s="5"/>
      <c r="S818" s="4"/>
      <c r="T818" s="5"/>
      <c r="V818" s="5"/>
    </row>
    <row r="819" ht="15.75" customHeight="1">
      <c r="D819" s="3"/>
      <c r="M819" s="4"/>
      <c r="N819" s="5"/>
      <c r="S819" s="4"/>
      <c r="T819" s="5"/>
      <c r="V819" s="5"/>
    </row>
    <row r="820" ht="15.75" customHeight="1">
      <c r="D820" s="3"/>
      <c r="M820" s="4"/>
      <c r="N820" s="5"/>
      <c r="S820" s="4"/>
      <c r="T820" s="5"/>
      <c r="V820" s="5"/>
    </row>
    <row r="821" ht="15.75" customHeight="1">
      <c r="D821" s="3"/>
      <c r="M821" s="4"/>
      <c r="N821" s="5"/>
      <c r="S821" s="4"/>
      <c r="T821" s="5"/>
      <c r="V821" s="5"/>
    </row>
    <row r="822" ht="15.75" customHeight="1">
      <c r="D822" s="3"/>
      <c r="M822" s="4"/>
      <c r="N822" s="5"/>
      <c r="S822" s="4"/>
      <c r="T822" s="5"/>
      <c r="V822" s="5"/>
    </row>
    <row r="823" ht="15.75" customHeight="1">
      <c r="D823" s="3"/>
      <c r="M823" s="4"/>
      <c r="N823" s="5"/>
      <c r="S823" s="4"/>
      <c r="T823" s="5"/>
      <c r="V823" s="5"/>
    </row>
    <row r="824" ht="15.75" customHeight="1">
      <c r="D824" s="3"/>
      <c r="M824" s="4"/>
      <c r="N824" s="5"/>
      <c r="S824" s="4"/>
      <c r="T824" s="5"/>
      <c r="V824" s="5"/>
    </row>
    <row r="825" ht="15.75" customHeight="1">
      <c r="D825" s="3"/>
      <c r="M825" s="4"/>
      <c r="N825" s="5"/>
      <c r="S825" s="4"/>
      <c r="T825" s="5"/>
      <c r="V825" s="5"/>
    </row>
    <row r="826" ht="15.75" customHeight="1">
      <c r="D826" s="3"/>
      <c r="M826" s="4"/>
      <c r="N826" s="5"/>
      <c r="S826" s="4"/>
      <c r="T826" s="5"/>
      <c r="V826" s="5"/>
    </row>
    <row r="827" ht="15.75" customHeight="1">
      <c r="D827" s="3"/>
      <c r="M827" s="4"/>
      <c r="N827" s="5"/>
      <c r="S827" s="4"/>
      <c r="T827" s="5"/>
      <c r="V827" s="5"/>
    </row>
    <row r="828" ht="15.75" customHeight="1">
      <c r="D828" s="3"/>
      <c r="M828" s="4"/>
      <c r="N828" s="5"/>
      <c r="S828" s="4"/>
      <c r="T828" s="5"/>
      <c r="V828" s="5"/>
    </row>
    <row r="829" ht="15.75" customHeight="1">
      <c r="D829" s="3"/>
      <c r="M829" s="4"/>
      <c r="N829" s="5"/>
      <c r="S829" s="4"/>
      <c r="T829" s="5"/>
      <c r="V829" s="5"/>
    </row>
    <row r="830" ht="15.75" customHeight="1">
      <c r="D830" s="3"/>
      <c r="M830" s="4"/>
      <c r="N830" s="5"/>
      <c r="S830" s="4"/>
      <c r="T830" s="5"/>
      <c r="V830" s="5"/>
    </row>
    <row r="831" ht="15.75" customHeight="1">
      <c r="D831" s="3"/>
      <c r="M831" s="4"/>
      <c r="N831" s="5"/>
      <c r="S831" s="4"/>
      <c r="T831" s="5"/>
      <c r="V831" s="5"/>
    </row>
    <row r="832" ht="15.75" customHeight="1">
      <c r="D832" s="3"/>
      <c r="M832" s="4"/>
      <c r="N832" s="5"/>
      <c r="S832" s="4"/>
      <c r="T832" s="5"/>
      <c r="V832" s="5"/>
    </row>
    <row r="833" ht="15.75" customHeight="1">
      <c r="D833" s="3"/>
      <c r="M833" s="4"/>
      <c r="N833" s="5"/>
      <c r="S833" s="4"/>
      <c r="T833" s="5"/>
      <c r="V833" s="5"/>
    </row>
    <row r="834" ht="15.75" customHeight="1">
      <c r="D834" s="3"/>
      <c r="M834" s="4"/>
      <c r="N834" s="5"/>
      <c r="S834" s="4"/>
      <c r="T834" s="5"/>
      <c r="V834" s="5"/>
    </row>
    <row r="835" ht="15.75" customHeight="1">
      <c r="D835" s="3"/>
      <c r="M835" s="4"/>
      <c r="N835" s="5"/>
      <c r="S835" s="4"/>
      <c r="T835" s="5"/>
      <c r="V835" s="5"/>
    </row>
    <row r="836" ht="15.75" customHeight="1">
      <c r="D836" s="3"/>
      <c r="M836" s="4"/>
      <c r="N836" s="5"/>
      <c r="S836" s="4"/>
      <c r="T836" s="5"/>
      <c r="V836" s="5"/>
    </row>
    <row r="837" ht="15.75" customHeight="1">
      <c r="D837" s="3"/>
      <c r="M837" s="4"/>
      <c r="N837" s="5"/>
      <c r="S837" s="4"/>
      <c r="T837" s="5"/>
      <c r="V837" s="5"/>
    </row>
    <row r="838" ht="15.75" customHeight="1">
      <c r="D838" s="3"/>
      <c r="M838" s="4"/>
      <c r="N838" s="5"/>
      <c r="S838" s="4"/>
      <c r="T838" s="5"/>
      <c r="V838" s="5"/>
    </row>
    <row r="839" ht="15.75" customHeight="1">
      <c r="D839" s="3"/>
      <c r="M839" s="4"/>
      <c r="N839" s="5"/>
      <c r="S839" s="4"/>
      <c r="T839" s="5"/>
      <c r="V839" s="5"/>
    </row>
    <row r="840" ht="15.75" customHeight="1">
      <c r="D840" s="3"/>
      <c r="M840" s="4"/>
      <c r="N840" s="5"/>
      <c r="S840" s="4"/>
      <c r="T840" s="5"/>
      <c r="V840" s="5"/>
    </row>
    <row r="841" ht="15.75" customHeight="1">
      <c r="D841" s="3"/>
      <c r="M841" s="4"/>
      <c r="N841" s="5"/>
      <c r="S841" s="4"/>
      <c r="T841" s="5"/>
      <c r="V841" s="5"/>
    </row>
    <row r="842" ht="15.75" customHeight="1">
      <c r="D842" s="3"/>
      <c r="M842" s="4"/>
      <c r="N842" s="5"/>
      <c r="S842" s="4"/>
      <c r="T842" s="5"/>
      <c r="V842" s="5"/>
    </row>
    <row r="843" ht="15.75" customHeight="1">
      <c r="D843" s="3"/>
      <c r="M843" s="4"/>
      <c r="N843" s="5"/>
      <c r="S843" s="4"/>
      <c r="T843" s="5"/>
      <c r="V843" s="5"/>
    </row>
    <row r="844" ht="15.75" customHeight="1">
      <c r="D844" s="3"/>
      <c r="M844" s="4"/>
      <c r="N844" s="5"/>
      <c r="S844" s="4"/>
      <c r="T844" s="5"/>
      <c r="V844" s="5"/>
    </row>
    <row r="845" ht="15.75" customHeight="1">
      <c r="D845" s="3"/>
      <c r="M845" s="4"/>
      <c r="N845" s="5"/>
      <c r="S845" s="4"/>
      <c r="T845" s="5"/>
      <c r="V845" s="5"/>
    </row>
    <row r="846" ht="15.75" customHeight="1">
      <c r="D846" s="3"/>
      <c r="M846" s="4"/>
      <c r="N846" s="5"/>
      <c r="S846" s="4"/>
      <c r="T846" s="5"/>
      <c r="V846" s="5"/>
    </row>
    <row r="847" ht="15.75" customHeight="1">
      <c r="D847" s="3"/>
      <c r="M847" s="4"/>
      <c r="N847" s="5"/>
      <c r="S847" s="4"/>
      <c r="T847" s="5"/>
      <c r="V847" s="5"/>
    </row>
    <row r="848" ht="15.75" customHeight="1">
      <c r="D848" s="3"/>
      <c r="M848" s="4"/>
      <c r="N848" s="5"/>
      <c r="S848" s="4"/>
      <c r="T848" s="5"/>
      <c r="V848" s="5"/>
    </row>
    <row r="849" ht="15.75" customHeight="1">
      <c r="D849" s="3"/>
      <c r="M849" s="4"/>
      <c r="N849" s="5"/>
      <c r="S849" s="4"/>
      <c r="T849" s="5"/>
      <c r="V849" s="5"/>
    </row>
    <row r="850" ht="15.75" customHeight="1">
      <c r="D850" s="3"/>
      <c r="M850" s="4"/>
      <c r="N850" s="5"/>
      <c r="S850" s="4"/>
      <c r="T850" s="5"/>
      <c r="V850" s="5"/>
    </row>
    <row r="851" ht="15.75" customHeight="1">
      <c r="D851" s="3"/>
      <c r="M851" s="4"/>
      <c r="N851" s="5"/>
      <c r="S851" s="4"/>
      <c r="T851" s="5"/>
      <c r="V851" s="5"/>
    </row>
    <row r="852" ht="15.75" customHeight="1">
      <c r="D852" s="3"/>
      <c r="M852" s="4"/>
      <c r="N852" s="5"/>
      <c r="S852" s="4"/>
      <c r="T852" s="5"/>
      <c r="V852" s="5"/>
    </row>
    <row r="853" ht="15.75" customHeight="1">
      <c r="D853" s="3"/>
      <c r="M853" s="4"/>
      <c r="N853" s="5"/>
      <c r="S853" s="4"/>
      <c r="T853" s="5"/>
      <c r="V853" s="5"/>
    </row>
    <row r="854" ht="15.75" customHeight="1">
      <c r="D854" s="3"/>
      <c r="M854" s="4"/>
      <c r="N854" s="5"/>
      <c r="S854" s="4"/>
      <c r="T854" s="5"/>
      <c r="V854" s="5"/>
    </row>
    <row r="855" ht="15.75" customHeight="1">
      <c r="D855" s="3"/>
      <c r="M855" s="4"/>
      <c r="N855" s="5"/>
      <c r="S855" s="4"/>
      <c r="T855" s="5"/>
      <c r="V855" s="5"/>
    </row>
    <row r="856" ht="15.75" customHeight="1">
      <c r="D856" s="3"/>
      <c r="M856" s="4"/>
      <c r="N856" s="5"/>
      <c r="S856" s="4"/>
      <c r="T856" s="5"/>
      <c r="V856" s="5"/>
    </row>
    <row r="857" ht="15.75" customHeight="1">
      <c r="D857" s="3"/>
      <c r="M857" s="4"/>
      <c r="N857" s="5"/>
      <c r="S857" s="4"/>
      <c r="T857" s="5"/>
      <c r="V857" s="5"/>
    </row>
    <row r="858" ht="15.75" customHeight="1">
      <c r="D858" s="3"/>
      <c r="M858" s="4"/>
      <c r="N858" s="5"/>
      <c r="S858" s="4"/>
      <c r="T858" s="5"/>
      <c r="V858" s="5"/>
    </row>
    <row r="859" ht="15.75" customHeight="1">
      <c r="D859" s="3"/>
      <c r="M859" s="4"/>
      <c r="N859" s="5"/>
      <c r="S859" s="4"/>
      <c r="T859" s="5"/>
      <c r="V859" s="5"/>
    </row>
    <row r="860" ht="15.75" customHeight="1">
      <c r="D860" s="3"/>
      <c r="M860" s="4"/>
      <c r="N860" s="5"/>
      <c r="S860" s="4"/>
      <c r="T860" s="5"/>
      <c r="V860" s="5"/>
    </row>
    <row r="861" ht="15.75" customHeight="1">
      <c r="D861" s="3"/>
      <c r="M861" s="4"/>
      <c r="N861" s="5"/>
      <c r="S861" s="4"/>
      <c r="T861" s="5"/>
      <c r="V861" s="5"/>
    </row>
    <row r="862" ht="15.75" customHeight="1">
      <c r="D862" s="3"/>
      <c r="M862" s="4"/>
      <c r="N862" s="5"/>
      <c r="S862" s="4"/>
      <c r="T862" s="5"/>
      <c r="V862" s="5"/>
    </row>
    <row r="863" ht="15.75" customHeight="1">
      <c r="D863" s="3"/>
      <c r="M863" s="4"/>
      <c r="N863" s="5"/>
      <c r="S863" s="4"/>
      <c r="T863" s="5"/>
      <c r="V863" s="5"/>
    </row>
    <row r="864" ht="15.75" customHeight="1">
      <c r="D864" s="3"/>
      <c r="M864" s="4"/>
      <c r="N864" s="5"/>
      <c r="S864" s="4"/>
      <c r="T864" s="5"/>
      <c r="V864" s="5"/>
    </row>
    <row r="865" ht="15.75" customHeight="1">
      <c r="D865" s="3"/>
      <c r="M865" s="4"/>
      <c r="N865" s="5"/>
      <c r="S865" s="4"/>
      <c r="T865" s="5"/>
      <c r="V865" s="5"/>
    </row>
    <row r="866" ht="15.75" customHeight="1">
      <c r="D866" s="3"/>
      <c r="M866" s="4"/>
      <c r="N866" s="5"/>
      <c r="S866" s="4"/>
      <c r="T866" s="5"/>
      <c r="V866" s="5"/>
    </row>
    <row r="867" ht="15.75" customHeight="1">
      <c r="D867" s="3"/>
      <c r="M867" s="4"/>
      <c r="N867" s="5"/>
      <c r="S867" s="4"/>
      <c r="T867" s="5"/>
      <c r="V867" s="5"/>
    </row>
    <row r="868" ht="15.75" customHeight="1">
      <c r="D868" s="3"/>
      <c r="M868" s="4"/>
      <c r="N868" s="5"/>
      <c r="S868" s="4"/>
      <c r="T868" s="5"/>
      <c r="V868" s="5"/>
    </row>
    <row r="869" ht="15.75" customHeight="1">
      <c r="D869" s="3"/>
      <c r="M869" s="4"/>
      <c r="N869" s="5"/>
      <c r="S869" s="4"/>
      <c r="T869" s="5"/>
      <c r="V869" s="5"/>
    </row>
    <row r="870" ht="15.75" customHeight="1">
      <c r="D870" s="3"/>
      <c r="M870" s="4"/>
      <c r="N870" s="5"/>
      <c r="S870" s="4"/>
      <c r="T870" s="5"/>
      <c r="V870" s="5"/>
    </row>
    <row r="871" ht="15.75" customHeight="1">
      <c r="D871" s="3"/>
      <c r="M871" s="4"/>
      <c r="N871" s="5"/>
      <c r="S871" s="4"/>
      <c r="T871" s="5"/>
      <c r="V871" s="5"/>
    </row>
    <row r="872" ht="15.75" customHeight="1">
      <c r="D872" s="3"/>
      <c r="M872" s="4"/>
      <c r="N872" s="5"/>
      <c r="S872" s="4"/>
      <c r="T872" s="5"/>
      <c r="V872" s="5"/>
    </row>
    <row r="873" ht="15.75" customHeight="1">
      <c r="D873" s="3"/>
      <c r="M873" s="4"/>
      <c r="N873" s="5"/>
      <c r="S873" s="4"/>
      <c r="T873" s="5"/>
      <c r="V873" s="5"/>
    </row>
    <row r="874" ht="15.75" customHeight="1">
      <c r="D874" s="3"/>
      <c r="M874" s="4"/>
      <c r="N874" s="5"/>
      <c r="S874" s="4"/>
      <c r="T874" s="5"/>
      <c r="V874" s="5"/>
    </row>
    <row r="875" ht="15.75" customHeight="1">
      <c r="D875" s="3"/>
      <c r="M875" s="4"/>
      <c r="N875" s="5"/>
      <c r="S875" s="4"/>
      <c r="T875" s="5"/>
      <c r="V875" s="5"/>
    </row>
    <row r="876" ht="15.75" customHeight="1">
      <c r="D876" s="3"/>
      <c r="M876" s="4"/>
      <c r="N876" s="5"/>
      <c r="S876" s="4"/>
      <c r="T876" s="5"/>
      <c r="V876" s="5"/>
    </row>
    <row r="877" ht="15.75" customHeight="1">
      <c r="D877" s="3"/>
      <c r="M877" s="4"/>
      <c r="N877" s="5"/>
      <c r="S877" s="4"/>
      <c r="T877" s="5"/>
      <c r="V877" s="5"/>
    </row>
    <row r="878" ht="15.75" customHeight="1">
      <c r="D878" s="3"/>
      <c r="M878" s="4"/>
      <c r="N878" s="5"/>
      <c r="S878" s="4"/>
      <c r="T878" s="5"/>
      <c r="V878" s="5"/>
    </row>
    <row r="879" ht="15.75" customHeight="1">
      <c r="D879" s="3"/>
      <c r="M879" s="4"/>
      <c r="N879" s="5"/>
      <c r="S879" s="4"/>
      <c r="T879" s="5"/>
      <c r="V879" s="5"/>
    </row>
    <row r="880" ht="15.75" customHeight="1">
      <c r="D880" s="3"/>
      <c r="M880" s="4"/>
      <c r="N880" s="5"/>
      <c r="S880" s="4"/>
      <c r="T880" s="5"/>
      <c r="V880" s="5"/>
    </row>
    <row r="881" ht="15.75" customHeight="1">
      <c r="D881" s="3"/>
      <c r="M881" s="4"/>
      <c r="N881" s="5"/>
      <c r="S881" s="4"/>
      <c r="T881" s="5"/>
      <c r="V881" s="5"/>
    </row>
    <row r="882" ht="15.75" customHeight="1">
      <c r="D882" s="3"/>
      <c r="M882" s="4"/>
      <c r="N882" s="5"/>
      <c r="S882" s="4"/>
      <c r="T882" s="5"/>
      <c r="V882" s="5"/>
    </row>
    <row r="883" ht="15.75" customHeight="1">
      <c r="D883" s="3"/>
      <c r="M883" s="4"/>
      <c r="N883" s="5"/>
      <c r="S883" s="4"/>
      <c r="T883" s="5"/>
      <c r="V883" s="5"/>
    </row>
    <row r="884" ht="15.75" customHeight="1">
      <c r="D884" s="3"/>
      <c r="M884" s="4"/>
      <c r="N884" s="5"/>
      <c r="S884" s="4"/>
      <c r="T884" s="5"/>
      <c r="V884" s="5"/>
    </row>
    <row r="885" ht="15.75" customHeight="1">
      <c r="D885" s="3"/>
      <c r="M885" s="4"/>
      <c r="N885" s="5"/>
      <c r="S885" s="4"/>
      <c r="T885" s="5"/>
      <c r="V885" s="5"/>
    </row>
    <row r="886" ht="15.75" customHeight="1">
      <c r="D886" s="3"/>
      <c r="M886" s="4"/>
      <c r="N886" s="5"/>
      <c r="S886" s="4"/>
      <c r="T886" s="5"/>
      <c r="V886" s="5"/>
    </row>
    <row r="887" ht="15.75" customHeight="1">
      <c r="D887" s="3"/>
      <c r="M887" s="4"/>
      <c r="N887" s="5"/>
      <c r="S887" s="4"/>
      <c r="T887" s="5"/>
      <c r="V887" s="5"/>
    </row>
    <row r="888" ht="15.75" customHeight="1">
      <c r="D888" s="3"/>
      <c r="M888" s="4"/>
      <c r="N888" s="5"/>
      <c r="S888" s="4"/>
      <c r="T888" s="5"/>
      <c r="V888" s="5"/>
    </row>
    <row r="889" ht="15.75" customHeight="1">
      <c r="D889" s="3"/>
      <c r="M889" s="4"/>
      <c r="N889" s="5"/>
      <c r="S889" s="4"/>
      <c r="T889" s="5"/>
      <c r="V889" s="5"/>
    </row>
    <row r="890" ht="15.75" customHeight="1">
      <c r="D890" s="3"/>
      <c r="M890" s="4"/>
      <c r="N890" s="5"/>
      <c r="S890" s="4"/>
      <c r="T890" s="5"/>
      <c r="V890" s="5"/>
    </row>
    <row r="891" ht="15.75" customHeight="1">
      <c r="D891" s="3"/>
      <c r="M891" s="4"/>
      <c r="N891" s="5"/>
      <c r="S891" s="4"/>
      <c r="T891" s="5"/>
      <c r="V891" s="5"/>
    </row>
    <row r="892" ht="15.75" customHeight="1">
      <c r="D892" s="3"/>
      <c r="M892" s="4"/>
      <c r="N892" s="5"/>
      <c r="S892" s="4"/>
      <c r="T892" s="5"/>
      <c r="V892" s="5"/>
    </row>
    <row r="893" ht="15.75" customHeight="1">
      <c r="D893" s="3"/>
      <c r="M893" s="4"/>
      <c r="N893" s="5"/>
      <c r="S893" s="4"/>
      <c r="T893" s="5"/>
      <c r="V893" s="5"/>
    </row>
    <row r="894" ht="15.75" customHeight="1">
      <c r="D894" s="3"/>
      <c r="M894" s="4"/>
      <c r="N894" s="5"/>
      <c r="S894" s="4"/>
      <c r="T894" s="5"/>
      <c r="V894" s="5"/>
    </row>
    <row r="895" ht="15.75" customHeight="1">
      <c r="D895" s="3"/>
      <c r="M895" s="4"/>
      <c r="N895" s="5"/>
      <c r="S895" s="4"/>
      <c r="T895" s="5"/>
      <c r="V895" s="5"/>
    </row>
    <row r="896" ht="15.75" customHeight="1">
      <c r="D896" s="3"/>
      <c r="M896" s="4"/>
      <c r="N896" s="5"/>
      <c r="S896" s="4"/>
      <c r="T896" s="5"/>
      <c r="V896" s="5"/>
    </row>
    <row r="897" ht="15.75" customHeight="1">
      <c r="D897" s="3"/>
      <c r="M897" s="4"/>
      <c r="N897" s="5"/>
      <c r="S897" s="4"/>
      <c r="T897" s="5"/>
      <c r="V897" s="5"/>
    </row>
    <row r="898" ht="15.75" customHeight="1">
      <c r="D898" s="3"/>
      <c r="M898" s="4"/>
      <c r="N898" s="5"/>
      <c r="S898" s="4"/>
      <c r="T898" s="5"/>
      <c r="V898" s="5"/>
    </row>
    <row r="899" ht="15.75" customHeight="1">
      <c r="D899" s="3"/>
      <c r="M899" s="4"/>
      <c r="N899" s="5"/>
      <c r="S899" s="4"/>
      <c r="T899" s="5"/>
      <c r="V899" s="5"/>
    </row>
    <row r="900" ht="15.75" customHeight="1">
      <c r="D900" s="3"/>
      <c r="M900" s="4"/>
      <c r="N900" s="5"/>
      <c r="S900" s="4"/>
      <c r="T900" s="5"/>
      <c r="V900" s="5"/>
    </row>
    <row r="901" ht="15.75" customHeight="1">
      <c r="D901" s="3"/>
      <c r="M901" s="4"/>
      <c r="N901" s="5"/>
      <c r="S901" s="4"/>
      <c r="T901" s="5"/>
      <c r="V901" s="5"/>
    </row>
    <row r="902" ht="15.75" customHeight="1">
      <c r="D902" s="3"/>
      <c r="M902" s="4"/>
      <c r="N902" s="5"/>
      <c r="S902" s="4"/>
      <c r="T902" s="5"/>
      <c r="V902" s="5"/>
    </row>
    <row r="903" ht="15.75" customHeight="1">
      <c r="D903" s="3"/>
      <c r="M903" s="4"/>
      <c r="N903" s="5"/>
      <c r="S903" s="4"/>
      <c r="T903" s="5"/>
      <c r="V903" s="5"/>
    </row>
    <row r="904" ht="15.75" customHeight="1">
      <c r="D904" s="3"/>
      <c r="M904" s="4"/>
      <c r="N904" s="5"/>
      <c r="S904" s="4"/>
      <c r="T904" s="5"/>
      <c r="V904" s="5"/>
    </row>
    <row r="905" ht="15.75" customHeight="1">
      <c r="D905" s="3"/>
      <c r="M905" s="4"/>
      <c r="N905" s="5"/>
      <c r="S905" s="4"/>
      <c r="T905" s="5"/>
      <c r="V905" s="5"/>
    </row>
    <row r="906" ht="15.75" customHeight="1">
      <c r="D906" s="3"/>
      <c r="M906" s="4"/>
      <c r="N906" s="5"/>
      <c r="S906" s="4"/>
      <c r="T906" s="5"/>
      <c r="V906" s="5"/>
    </row>
    <row r="907" ht="15.75" customHeight="1">
      <c r="D907" s="3"/>
      <c r="M907" s="4"/>
      <c r="N907" s="5"/>
      <c r="S907" s="4"/>
      <c r="T907" s="5"/>
      <c r="V907" s="5"/>
    </row>
    <row r="908" ht="15.75" customHeight="1">
      <c r="D908" s="3"/>
      <c r="M908" s="4"/>
      <c r="N908" s="5"/>
      <c r="S908" s="4"/>
      <c r="T908" s="5"/>
      <c r="V908" s="5"/>
    </row>
    <row r="909" ht="15.75" customHeight="1">
      <c r="D909" s="3"/>
      <c r="M909" s="4"/>
      <c r="N909" s="5"/>
      <c r="S909" s="4"/>
      <c r="T909" s="5"/>
      <c r="V909" s="5"/>
    </row>
    <row r="910" ht="15.75" customHeight="1">
      <c r="D910" s="3"/>
      <c r="M910" s="4"/>
      <c r="N910" s="5"/>
      <c r="S910" s="4"/>
      <c r="T910" s="5"/>
      <c r="V910" s="5"/>
    </row>
    <row r="911" ht="15.75" customHeight="1">
      <c r="D911" s="3"/>
      <c r="M911" s="4"/>
      <c r="N911" s="5"/>
      <c r="S911" s="4"/>
      <c r="T911" s="5"/>
      <c r="V911" s="5"/>
    </row>
    <row r="912" ht="15.75" customHeight="1">
      <c r="D912" s="3"/>
      <c r="M912" s="4"/>
      <c r="N912" s="5"/>
      <c r="S912" s="4"/>
      <c r="T912" s="5"/>
      <c r="V912" s="5"/>
    </row>
    <row r="913" ht="15.75" customHeight="1">
      <c r="D913" s="3"/>
      <c r="M913" s="4"/>
      <c r="N913" s="5"/>
      <c r="S913" s="4"/>
      <c r="T913" s="5"/>
      <c r="V913" s="5"/>
    </row>
    <row r="914" ht="15.75" customHeight="1">
      <c r="D914" s="3"/>
      <c r="M914" s="4"/>
      <c r="N914" s="5"/>
      <c r="S914" s="4"/>
      <c r="T914" s="5"/>
      <c r="V914" s="5"/>
    </row>
    <row r="915" ht="15.75" customHeight="1">
      <c r="D915" s="3"/>
      <c r="M915" s="4"/>
      <c r="N915" s="5"/>
      <c r="S915" s="4"/>
      <c r="T915" s="5"/>
      <c r="V915" s="5"/>
    </row>
    <row r="916" ht="15.75" customHeight="1">
      <c r="D916" s="3"/>
      <c r="M916" s="4"/>
      <c r="N916" s="5"/>
      <c r="S916" s="4"/>
      <c r="T916" s="5"/>
      <c r="V916" s="5"/>
    </row>
    <row r="917" ht="15.75" customHeight="1">
      <c r="D917" s="3"/>
      <c r="M917" s="4"/>
      <c r="N917" s="5"/>
      <c r="S917" s="4"/>
      <c r="T917" s="5"/>
      <c r="V917" s="5"/>
    </row>
    <row r="918" ht="15.75" customHeight="1">
      <c r="D918" s="3"/>
      <c r="M918" s="4"/>
      <c r="N918" s="5"/>
      <c r="S918" s="4"/>
      <c r="T918" s="5"/>
      <c r="V918" s="5"/>
    </row>
    <row r="919" ht="15.75" customHeight="1">
      <c r="D919" s="3"/>
      <c r="M919" s="4"/>
      <c r="N919" s="5"/>
      <c r="S919" s="4"/>
      <c r="T919" s="5"/>
      <c r="V919" s="5"/>
    </row>
    <row r="920" ht="15.75" customHeight="1">
      <c r="D920" s="3"/>
      <c r="M920" s="4"/>
      <c r="N920" s="5"/>
      <c r="S920" s="4"/>
      <c r="T920" s="5"/>
      <c r="V920" s="5"/>
    </row>
    <row r="921" ht="15.75" customHeight="1">
      <c r="D921" s="3"/>
      <c r="M921" s="4"/>
      <c r="N921" s="5"/>
      <c r="S921" s="4"/>
      <c r="T921" s="5"/>
      <c r="V921" s="5"/>
    </row>
    <row r="922" ht="15.75" customHeight="1">
      <c r="D922" s="3"/>
      <c r="M922" s="4"/>
      <c r="N922" s="5"/>
      <c r="S922" s="4"/>
      <c r="T922" s="5"/>
      <c r="V922" s="5"/>
    </row>
    <row r="923" ht="15.75" customHeight="1">
      <c r="D923" s="3"/>
      <c r="M923" s="4"/>
      <c r="N923" s="5"/>
      <c r="S923" s="4"/>
      <c r="T923" s="5"/>
      <c r="V923" s="5"/>
    </row>
    <row r="924" ht="15.75" customHeight="1">
      <c r="D924" s="3"/>
      <c r="M924" s="4"/>
      <c r="N924" s="5"/>
      <c r="S924" s="4"/>
      <c r="T924" s="5"/>
      <c r="V924" s="5"/>
    </row>
    <row r="925" ht="15.75" customHeight="1">
      <c r="D925" s="3"/>
      <c r="M925" s="4"/>
      <c r="N925" s="5"/>
      <c r="S925" s="4"/>
      <c r="T925" s="5"/>
      <c r="V925" s="5"/>
    </row>
    <row r="926" ht="15.75" customHeight="1">
      <c r="D926" s="3"/>
      <c r="M926" s="4"/>
      <c r="N926" s="5"/>
      <c r="S926" s="4"/>
      <c r="T926" s="5"/>
      <c r="V926" s="5"/>
    </row>
    <row r="927" ht="15.75" customHeight="1">
      <c r="D927" s="3"/>
      <c r="M927" s="4"/>
      <c r="N927" s="5"/>
      <c r="S927" s="4"/>
      <c r="T927" s="5"/>
      <c r="V927" s="5"/>
    </row>
    <row r="928" ht="15.75" customHeight="1">
      <c r="D928" s="3"/>
      <c r="M928" s="4"/>
      <c r="N928" s="5"/>
      <c r="S928" s="4"/>
      <c r="T928" s="5"/>
      <c r="V928" s="5"/>
    </row>
    <row r="929" ht="15.75" customHeight="1">
      <c r="D929" s="3"/>
      <c r="M929" s="4"/>
      <c r="N929" s="5"/>
      <c r="S929" s="4"/>
      <c r="T929" s="5"/>
      <c r="V929" s="5"/>
    </row>
    <row r="930" ht="15.75" customHeight="1">
      <c r="D930" s="3"/>
      <c r="M930" s="4"/>
      <c r="N930" s="5"/>
      <c r="S930" s="4"/>
      <c r="T930" s="5"/>
      <c r="V930" s="5"/>
    </row>
    <row r="931" ht="15.75" customHeight="1">
      <c r="D931" s="3"/>
      <c r="M931" s="4"/>
      <c r="N931" s="5"/>
      <c r="S931" s="4"/>
      <c r="T931" s="5"/>
      <c r="V931" s="5"/>
    </row>
    <row r="932" ht="15.75" customHeight="1">
      <c r="D932" s="3"/>
      <c r="M932" s="4"/>
      <c r="N932" s="5"/>
      <c r="S932" s="4"/>
      <c r="T932" s="5"/>
      <c r="V932" s="5"/>
    </row>
    <row r="933" ht="15.75" customHeight="1">
      <c r="D933" s="3"/>
      <c r="M933" s="4"/>
      <c r="N933" s="5"/>
      <c r="S933" s="4"/>
      <c r="T933" s="5"/>
      <c r="V933" s="5"/>
    </row>
    <row r="934" ht="15.75" customHeight="1">
      <c r="D934" s="3"/>
      <c r="M934" s="4"/>
      <c r="N934" s="5"/>
      <c r="S934" s="4"/>
      <c r="T934" s="5"/>
      <c r="V934" s="5"/>
    </row>
    <row r="935" ht="15.75" customHeight="1">
      <c r="D935" s="3"/>
      <c r="M935" s="4"/>
      <c r="N935" s="5"/>
      <c r="S935" s="4"/>
      <c r="T935" s="5"/>
      <c r="V935" s="5"/>
    </row>
    <row r="936" ht="15.75" customHeight="1">
      <c r="D936" s="3"/>
      <c r="M936" s="4"/>
      <c r="N936" s="5"/>
      <c r="S936" s="4"/>
      <c r="T936" s="5"/>
      <c r="V936" s="5"/>
    </row>
    <row r="937" ht="15.75" customHeight="1">
      <c r="D937" s="3"/>
      <c r="M937" s="4"/>
      <c r="N937" s="5"/>
      <c r="S937" s="4"/>
      <c r="T937" s="5"/>
      <c r="V937" s="5"/>
    </row>
    <row r="938" ht="15.75" customHeight="1">
      <c r="D938" s="3"/>
      <c r="M938" s="4"/>
      <c r="N938" s="5"/>
      <c r="S938" s="4"/>
      <c r="T938" s="5"/>
      <c r="V938" s="5"/>
    </row>
    <row r="939" ht="15.75" customHeight="1">
      <c r="D939" s="3"/>
      <c r="M939" s="4"/>
      <c r="N939" s="5"/>
      <c r="S939" s="4"/>
      <c r="T939" s="5"/>
      <c r="V939" s="5"/>
    </row>
    <row r="940" ht="15.75" customHeight="1">
      <c r="D940" s="3"/>
      <c r="M940" s="4"/>
      <c r="N940" s="5"/>
      <c r="S940" s="4"/>
      <c r="T940" s="5"/>
      <c r="V940" s="5"/>
    </row>
    <row r="941" ht="15.75" customHeight="1">
      <c r="D941" s="3"/>
      <c r="M941" s="4"/>
      <c r="N941" s="5"/>
      <c r="S941" s="4"/>
      <c r="T941" s="5"/>
      <c r="V941" s="5"/>
    </row>
    <row r="942" ht="15.75" customHeight="1">
      <c r="D942" s="3"/>
      <c r="M942" s="4"/>
      <c r="N942" s="5"/>
      <c r="S942" s="4"/>
      <c r="T942" s="5"/>
      <c r="V942" s="5"/>
    </row>
    <row r="943" ht="15.75" customHeight="1">
      <c r="D943" s="3"/>
      <c r="M943" s="4"/>
      <c r="N943" s="5"/>
      <c r="S943" s="4"/>
      <c r="T943" s="5"/>
      <c r="V943" s="5"/>
    </row>
    <row r="944" ht="15.75" customHeight="1">
      <c r="D944" s="3"/>
      <c r="M944" s="4"/>
      <c r="N944" s="5"/>
      <c r="S944" s="4"/>
      <c r="T944" s="5"/>
      <c r="V944" s="5"/>
    </row>
    <row r="945" ht="15.75" customHeight="1">
      <c r="D945" s="3"/>
      <c r="M945" s="4"/>
      <c r="N945" s="5"/>
      <c r="S945" s="4"/>
      <c r="T945" s="5"/>
      <c r="V945" s="5"/>
    </row>
    <row r="946" ht="15.75" customHeight="1">
      <c r="D946" s="3"/>
      <c r="M946" s="4"/>
      <c r="N946" s="5"/>
      <c r="S946" s="4"/>
      <c r="T946" s="5"/>
      <c r="V946" s="5"/>
    </row>
    <row r="947" ht="15.75" customHeight="1">
      <c r="D947" s="3"/>
      <c r="M947" s="4"/>
      <c r="N947" s="5"/>
      <c r="S947" s="4"/>
      <c r="T947" s="5"/>
      <c r="V947" s="5"/>
    </row>
    <row r="948" ht="15.75" customHeight="1">
      <c r="D948" s="3"/>
      <c r="M948" s="4"/>
      <c r="N948" s="5"/>
      <c r="S948" s="4"/>
      <c r="T948" s="5"/>
      <c r="V948" s="5"/>
    </row>
    <row r="949" ht="15.75" customHeight="1">
      <c r="D949" s="3"/>
      <c r="M949" s="4"/>
      <c r="N949" s="5"/>
      <c r="S949" s="4"/>
      <c r="T949" s="5"/>
      <c r="V949" s="5"/>
    </row>
    <row r="950" ht="15.75" customHeight="1">
      <c r="D950" s="3"/>
      <c r="M950" s="4"/>
      <c r="N950" s="5"/>
      <c r="S950" s="4"/>
      <c r="T950" s="5"/>
      <c r="V950" s="5"/>
    </row>
    <row r="951" ht="15.75" customHeight="1">
      <c r="D951" s="3"/>
      <c r="M951" s="4"/>
      <c r="N951" s="5"/>
      <c r="S951" s="4"/>
      <c r="T951" s="5"/>
      <c r="V951" s="5"/>
    </row>
    <row r="952" ht="15.75" customHeight="1">
      <c r="D952" s="3"/>
      <c r="M952" s="4"/>
      <c r="N952" s="5"/>
      <c r="S952" s="4"/>
      <c r="T952" s="5"/>
      <c r="V952" s="5"/>
    </row>
    <row r="953" ht="15.75" customHeight="1">
      <c r="D953" s="3"/>
      <c r="M953" s="4"/>
      <c r="N953" s="5"/>
      <c r="S953" s="4"/>
      <c r="T953" s="5"/>
      <c r="V953" s="5"/>
    </row>
    <row r="954" ht="15.75" customHeight="1">
      <c r="D954" s="3"/>
      <c r="M954" s="4"/>
      <c r="N954" s="5"/>
      <c r="S954" s="4"/>
      <c r="T954" s="5"/>
      <c r="V954" s="5"/>
    </row>
    <row r="955" ht="15.75" customHeight="1">
      <c r="D955" s="3"/>
      <c r="M955" s="4"/>
      <c r="N955" s="5"/>
      <c r="S955" s="4"/>
      <c r="T955" s="5"/>
      <c r="V955" s="5"/>
    </row>
    <row r="956" ht="15.75" customHeight="1">
      <c r="D956" s="3"/>
      <c r="M956" s="4"/>
      <c r="N956" s="5"/>
      <c r="S956" s="4"/>
      <c r="T956" s="5"/>
      <c r="V956" s="5"/>
    </row>
    <row r="957" ht="15.75" customHeight="1">
      <c r="D957" s="3"/>
      <c r="M957" s="4"/>
      <c r="N957" s="5"/>
      <c r="S957" s="4"/>
      <c r="T957" s="5"/>
      <c r="V957" s="5"/>
    </row>
    <row r="958" ht="15.75" customHeight="1">
      <c r="D958" s="3"/>
      <c r="M958" s="4"/>
      <c r="N958" s="5"/>
      <c r="S958" s="4"/>
      <c r="T958" s="5"/>
      <c r="V958" s="5"/>
    </row>
    <row r="959" ht="15.75" customHeight="1">
      <c r="D959" s="3"/>
      <c r="M959" s="4"/>
      <c r="N959" s="5"/>
      <c r="S959" s="4"/>
      <c r="T959" s="5"/>
      <c r="V959" s="5"/>
    </row>
    <row r="960" ht="15.75" customHeight="1">
      <c r="D960" s="3"/>
      <c r="M960" s="4"/>
      <c r="N960" s="5"/>
      <c r="S960" s="4"/>
      <c r="T960" s="5"/>
      <c r="V960" s="5"/>
    </row>
    <row r="961" ht="15.75" customHeight="1">
      <c r="D961" s="3"/>
      <c r="M961" s="4"/>
      <c r="N961" s="5"/>
      <c r="S961" s="4"/>
      <c r="T961" s="5"/>
      <c r="V961" s="5"/>
    </row>
    <row r="962" ht="15.75" customHeight="1">
      <c r="D962" s="3"/>
      <c r="M962" s="4"/>
      <c r="N962" s="5"/>
      <c r="S962" s="4"/>
      <c r="T962" s="5"/>
      <c r="V962" s="5"/>
    </row>
    <row r="963" ht="15.75" customHeight="1">
      <c r="D963" s="3"/>
      <c r="M963" s="4"/>
      <c r="N963" s="5"/>
      <c r="S963" s="4"/>
      <c r="T963" s="5"/>
      <c r="V963" s="5"/>
    </row>
    <row r="964" ht="15.75" customHeight="1">
      <c r="D964" s="3"/>
      <c r="M964" s="4"/>
      <c r="N964" s="5"/>
      <c r="S964" s="4"/>
      <c r="T964" s="5"/>
      <c r="V964" s="5"/>
    </row>
    <row r="965" ht="15.75" customHeight="1">
      <c r="D965" s="3"/>
      <c r="M965" s="4"/>
      <c r="N965" s="5"/>
      <c r="S965" s="4"/>
      <c r="T965" s="5"/>
      <c r="V965" s="5"/>
    </row>
    <row r="966" ht="15.75" customHeight="1">
      <c r="D966" s="3"/>
      <c r="M966" s="4"/>
      <c r="N966" s="5"/>
      <c r="S966" s="4"/>
      <c r="T966" s="5"/>
      <c r="V966" s="5"/>
    </row>
    <row r="967" ht="15.75" customHeight="1">
      <c r="D967" s="3"/>
      <c r="M967" s="4"/>
      <c r="N967" s="5"/>
      <c r="S967" s="4"/>
      <c r="T967" s="5"/>
      <c r="V967" s="5"/>
    </row>
    <row r="968" ht="15.75" customHeight="1">
      <c r="D968" s="3"/>
      <c r="M968" s="4"/>
      <c r="N968" s="5"/>
      <c r="S968" s="4"/>
      <c r="T968" s="5"/>
      <c r="V968" s="5"/>
    </row>
    <row r="969" ht="15.75" customHeight="1">
      <c r="D969" s="3"/>
      <c r="M969" s="4"/>
      <c r="N969" s="5"/>
      <c r="S969" s="4"/>
      <c r="T969" s="5"/>
      <c r="V969" s="5"/>
    </row>
    <row r="970" ht="15.75" customHeight="1">
      <c r="D970" s="3"/>
      <c r="M970" s="4"/>
      <c r="N970" s="5"/>
      <c r="S970" s="4"/>
      <c r="T970" s="5"/>
      <c r="V970" s="5"/>
    </row>
    <row r="971" ht="15.75" customHeight="1">
      <c r="D971" s="3"/>
      <c r="M971" s="4"/>
      <c r="N971" s="5"/>
      <c r="S971" s="4"/>
      <c r="T971" s="5"/>
      <c r="V971" s="5"/>
    </row>
    <row r="972" ht="15.75" customHeight="1">
      <c r="D972" s="3"/>
      <c r="M972" s="4"/>
      <c r="N972" s="5"/>
      <c r="S972" s="4"/>
      <c r="T972" s="5"/>
      <c r="V972" s="5"/>
    </row>
    <row r="973" ht="15.75" customHeight="1">
      <c r="D973" s="3"/>
      <c r="M973" s="4"/>
      <c r="N973" s="5"/>
      <c r="S973" s="4"/>
      <c r="T973" s="5"/>
      <c r="V973" s="5"/>
    </row>
    <row r="974" ht="15.75" customHeight="1">
      <c r="D974" s="3"/>
      <c r="M974" s="4"/>
      <c r="N974" s="5"/>
      <c r="S974" s="4"/>
      <c r="T974" s="5"/>
      <c r="V974" s="5"/>
    </row>
    <row r="975" ht="15.75" customHeight="1">
      <c r="D975" s="3"/>
      <c r="M975" s="4"/>
      <c r="N975" s="5"/>
      <c r="S975" s="4"/>
      <c r="T975" s="5"/>
      <c r="V975" s="5"/>
    </row>
    <row r="976" ht="15.75" customHeight="1">
      <c r="D976" s="3"/>
      <c r="M976" s="4"/>
      <c r="N976" s="5"/>
      <c r="S976" s="4"/>
      <c r="T976" s="5"/>
      <c r="V976" s="5"/>
    </row>
    <row r="977" ht="15.75" customHeight="1">
      <c r="D977" s="3"/>
      <c r="M977" s="4"/>
      <c r="N977" s="5"/>
      <c r="S977" s="4"/>
      <c r="T977" s="5"/>
      <c r="V977" s="5"/>
    </row>
    <row r="978" ht="15.75" customHeight="1">
      <c r="D978" s="3"/>
      <c r="M978" s="4"/>
      <c r="N978" s="5"/>
      <c r="S978" s="4"/>
      <c r="T978" s="5"/>
      <c r="V978" s="5"/>
    </row>
    <row r="979" ht="15.75" customHeight="1">
      <c r="D979" s="3"/>
      <c r="M979" s="4"/>
      <c r="N979" s="5"/>
      <c r="S979" s="4"/>
      <c r="T979" s="5"/>
      <c r="V979" s="5"/>
    </row>
    <row r="980" ht="15.75" customHeight="1">
      <c r="D980" s="3"/>
      <c r="M980" s="4"/>
      <c r="N980" s="5"/>
      <c r="S980" s="4"/>
      <c r="T980" s="5"/>
      <c r="V980" s="5"/>
    </row>
    <row r="981" ht="15.75" customHeight="1">
      <c r="D981" s="3"/>
      <c r="M981" s="4"/>
      <c r="N981" s="5"/>
      <c r="S981" s="4"/>
      <c r="T981" s="5"/>
      <c r="V981" s="5"/>
    </row>
    <row r="982" ht="15.75" customHeight="1">
      <c r="D982" s="3"/>
      <c r="M982" s="4"/>
      <c r="N982" s="5"/>
      <c r="S982" s="4"/>
      <c r="T982" s="5"/>
      <c r="V982" s="5"/>
    </row>
    <row r="983" ht="15.75" customHeight="1">
      <c r="D983" s="3"/>
      <c r="M983" s="4"/>
      <c r="N983" s="5"/>
      <c r="S983" s="4"/>
      <c r="T983" s="5"/>
      <c r="V983" s="5"/>
    </row>
    <row r="984" ht="15.75" customHeight="1">
      <c r="D984" s="3"/>
      <c r="M984" s="4"/>
      <c r="N984" s="5"/>
      <c r="S984" s="4"/>
      <c r="T984" s="5"/>
      <c r="V984" s="5"/>
    </row>
    <row r="985" ht="15.75" customHeight="1">
      <c r="D985" s="3"/>
      <c r="M985" s="4"/>
      <c r="N985" s="5"/>
      <c r="S985" s="4"/>
      <c r="T985" s="5"/>
      <c r="V985" s="5"/>
    </row>
    <row r="986" ht="15.75" customHeight="1">
      <c r="D986" s="3"/>
      <c r="M986" s="4"/>
      <c r="N986" s="5"/>
      <c r="S986" s="4"/>
      <c r="T986" s="5"/>
      <c r="V986" s="5"/>
    </row>
    <row r="987" ht="15.75" customHeight="1">
      <c r="D987" s="3"/>
      <c r="M987" s="4"/>
      <c r="N987" s="5"/>
      <c r="S987" s="4"/>
      <c r="T987" s="5"/>
      <c r="V987" s="5"/>
    </row>
    <row r="988" ht="15.75" customHeight="1">
      <c r="D988" s="3"/>
      <c r="M988" s="4"/>
      <c r="N988" s="5"/>
      <c r="S988" s="4"/>
      <c r="T988" s="5"/>
      <c r="V988" s="5"/>
    </row>
    <row r="989" ht="15.75" customHeight="1">
      <c r="D989" s="3"/>
      <c r="M989" s="4"/>
      <c r="N989" s="5"/>
      <c r="S989" s="4"/>
      <c r="T989" s="5"/>
      <c r="V989" s="5"/>
    </row>
    <row r="990" ht="15.75" customHeight="1">
      <c r="D990" s="3"/>
      <c r="M990" s="4"/>
      <c r="N990" s="5"/>
      <c r="S990" s="4"/>
      <c r="T990" s="5"/>
      <c r="V990" s="5"/>
    </row>
    <row r="991" ht="15.75" customHeight="1">
      <c r="D991" s="3"/>
      <c r="M991" s="4"/>
      <c r="N991" s="5"/>
      <c r="S991" s="4"/>
      <c r="T991" s="5"/>
      <c r="V991" s="5"/>
    </row>
    <row r="992" ht="15.75" customHeight="1">
      <c r="D992" s="3"/>
      <c r="M992" s="4"/>
      <c r="N992" s="5"/>
      <c r="S992" s="4"/>
      <c r="T992" s="5"/>
      <c r="V992" s="5"/>
    </row>
    <row r="993" ht="15.75" customHeight="1">
      <c r="D993" s="3"/>
      <c r="M993" s="4"/>
      <c r="N993" s="5"/>
      <c r="S993" s="4"/>
      <c r="T993" s="5"/>
      <c r="V993" s="5"/>
    </row>
    <row r="994" ht="15.75" customHeight="1">
      <c r="D994" s="3"/>
      <c r="M994" s="4"/>
      <c r="N994" s="5"/>
      <c r="S994" s="4"/>
      <c r="T994" s="5"/>
      <c r="V994" s="5"/>
    </row>
    <row r="995" ht="15.75" customHeight="1">
      <c r="D995" s="3"/>
      <c r="M995" s="4"/>
      <c r="N995" s="5"/>
      <c r="S995" s="4"/>
      <c r="T995" s="5"/>
      <c r="V995" s="5"/>
    </row>
    <row r="996" ht="15.75" customHeight="1">
      <c r="D996" s="3"/>
      <c r="M996" s="4"/>
      <c r="N996" s="5"/>
      <c r="S996" s="4"/>
      <c r="T996" s="5"/>
      <c r="V996" s="5"/>
    </row>
    <row r="997" ht="15.75" customHeight="1">
      <c r="D997" s="3"/>
      <c r="M997" s="4"/>
      <c r="N997" s="5"/>
      <c r="S997" s="4"/>
      <c r="T997" s="5"/>
      <c r="V997" s="5"/>
    </row>
    <row r="998" ht="15.75" customHeight="1">
      <c r="D998" s="3"/>
      <c r="M998" s="4"/>
      <c r="N998" s="5"/>
      <c r="S998" s="4"/>
      <c r="T998" s="5"/>
      <c r="V998" s="5"/>
    </row>
    <row r="999" ht="15.75" customHeight="1">
      <c r="D999" s="3"/>
      <c r="M999" s="4"/>
      <c r="N999" s="5"/>
      <c r="S999" s="4"/>
      <c r="T999" s="5"/>
      <c r="V999" s="5"/>
    </row>
    <row r="1000" ht="15.75" customHeight="1">
      <c r="D1000" s="3"/>
      <c r="M1000" s="4"/>
      <c r="N1000" s="5"/>
      <c r="S1000" s="4"/>
      <c r="T1000" s="5"/>
      <c r="V1000" s="5"/>
    </row>
  </sheetData>
  <autoFilter ref="$R$3:$W$78"/>
  <mergeCells count="34">
    <mergeCell ref="B3:H3"/>
    <mergeCell ref="L3:P3"/>
    <mergeCell ref="R3:W3"/>
    <mergeCell ref="Z3:AA3"/>
    <mergeCell ref="AC3:AD3"/>
    <mergeCell ref="AF3:AG3"/>
    <mergeCell ref="Z12:AA12"/>
    <mergeCell ref="L77:M78"/>
    <mergeCell ref="N77:N78"/>
    <mergeCell ref="R77:S78"/>
    <mergeCell ref="T77:T78"/>
    <mergeCell ref="W77:W78"/>
    <mergeCell ref="B78:D78"/>
    <mergeCell ref="L79:M79"/>
    <mergeCell ref="B79:D79"/>
    <mergeCell ref="B80:D80"/>
    <mergeCell ref="L80:M80"/>
    <mergeCell ref="B81:D81"/>
    <mergeCell ref="L81:M81"/>
    <mergeCell ref="B82:D82"/>
    <mergeCell ref="D88:G88"/>
    <mergeCell ref="D104:G104"/>
    <mergeCell ref="D105:G105"/>
    <mergeCell ref="D106:G106"/>
    <mergeCell ref="D107:G107"/>
    <mergeCell ref="D108:G108"/>
    <mergeCell ref="D109:G109"/>
    <mergeCell ref="C91:G91"/>
    <mergeCell ref="D94:E94"/>
    <mergeCell ref="D95:E95"/>
    <mergeCell ref="C99:G100"/>
    <mergeCell ref="D101:G101"/>
    <mergeCell ref="D102:G102"/>
    <mergeCell ref="D103:G10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5.43"/>
    <col customWidth="1" min="3" max="3" width="46.71"/>
    <col customWidth="1" min="4" max="4" width="21.14"/>
    <col customWidth="1" min="5" max="5" width="23.86"/>
    <col customWidth="1" min="6" max="6" width="21.71"/>
    <col customWidth="1" min="7" max="7" width="18.0"/>
    <col customWidth="1" min="8" max="8" width="27.0"/>
    <col customWidth="1" min="9" max="11" width="8.86"/>
    <col customWidth="1" min="12" max="12" width="30.43"/>
    <col customWidth="1" min="13" max="13" width="57.71"/>
    <col customWidth="1" min="14" max="14" width="23.29"/>
    <col customWidth="1" min="15" max="15" width="20.29"/>
    <col customWidth="1" min="16" max="16" width="9.29"/>
    <col customWidth="1" min="17" max="17" width="8.86"/>
    <col customWidth="1" min="18" max="18" width="52.0"/>
    <col customWidth="1" min="19" max="19" width="45.29"/>
    <col customWidth="1" min="20" max="20" width="19.14"/>
    <col customWidth="1" min="21" max="21" width="22.29"/>
    <col customWidth="1" min="22" max="22" width="16.71"/>
    <col customWidth="1" min="23" max="24" width="8.86"/>
    <col customWidth="1" min="25" max="25" width="9.29"/>
    <col customWidth="1" min="26" max="26" width="8.86"/>
  </cols>
  <sheetData>
    <row r="1">
      <c r="M1" s="4"/>
      <c r="N1" s="5"/>
      <c r="S1" s="4"/>
      <c r="T1" s="5"/>
    </row>
    <row r="2">
      <c r="M2" s="4"/>
      <c r="N2" s="5"/>
      <c r="S2" s="4"/>
      <c r="T2" s="5"/>
    </row>
    <row r="3" ht="36.75" customHeight="1">
      <c r="A3" s="7" t="s">
        <v>1</v>
      </c>
      <c r="B3" s="8" t="s">
        <v>2</v>
      </c>
      <c r="C3" s="9"/>
      <c r="D3" s="9"/>
      <c r="E3" s="9"/>
      <c r="F3" s="9"/>
      <c r="G3" s="9"/>
      <c r="H3" s="10"/>
      <c r="L3" s="178" t="s">
        <v>3</v>
      </c>
      <c r="M3" s="9"/>
      <c r="N3" s="9"/>
      <c r="O3" s="10"/>
      <c r="R3" s="14" t="s">
        <v>4</v>
      </c>
      <c r="S3" s="12"/>
      <c r="T3" s="12"/>
      <c r="U3" s="12"/>
      <c r="V3" s="13"/>
    </row>
    <row r="4">
      <c r="B4" s="17" t="s">
        <v>8</v>
      </c>
      <c r="C4" s="18" t="s">
        <v>9</v>
      </c>
      <c r="D4" s="179" t="s">
        <v>10</v>
      </c>
      <c r="E4" s="20" t="s">
        <v>11</v>
      </c>
      <c r="F4" s="21" t="s">
        <v>12</v>
      </c>
      <c r="G4" s="22" t="s">
        <v>13</v>
      </c>
      <c r="H4" s="23" t="s">
        <v>14</v>
      </c>
      <c r="L4" s="24" t="s">
        <v>15</v>
      </c>
      <c r="M4" s="25" t="s">
        <v>9</v>
      </c>
      <c r="N4" s="26" t="s">
        <v>11</v>
      </c>
      <c r="O4" s="180" t="s">
        <v>16</v>
      </c>
      <c r="R4" s="29" t="s">
        <v>15</v>
      </c>
      <c r="S4" s="30" t="s">
        <v>9</v>
      </c>
      <c r="T4" s="31" t="s">
        <v>11</v>
      </c>
      <c r="U4" s="32" t="s">
        <v>16</v>
      </c>
      <c r="V4" s="181" t="s">
        <v>17</v>
      </c>
    </row>
    <row r="5">
      <c r="B5" s="17" t="s">
        <v>26</v>
      </c>
      <c r="C5" s="18">
        <v>45742.0</v>
      </c>
      <c r="D5" s="179">
        <v>45742.0</v>
      </c>
      <c r="E5" s="20">
        <v>500.0</v>
      </c>
      <c r="F5" s="21"/>
      <c r="G5" s="22"/>
      <c r="H5" s="23"/>
      <c r="L5" s="24" t="s">
        <v>202</v>
      </c>
      <c r="M5" s="25">
        <v>45744.0</v>
      </c>
      <c r="N5" s="26">
        <v>274.0</v>
      </c>
      <c r="O5" s="180"/>
      <c r="Q5" s="182">
        <v>1.0</v>
      </c>
      <c r="R5" s="183" t="s">
        <v>203</v>
      </c>
      <c r="S5" s="65">
        <v>45765.0</v>
      </c>
      <c r="T5" s="66">
        <v>1050.0</v>
      </c>
      <c r="U5" s="58" t="s">
        <v>29</v>
      </c>
      <c r="V5" s="184" t="s">
        <v>204</v>
      </c>
    </row>
    <row r="6">
      <c r="B6" s="17" t="s">
        <v>61</v>
      </c>
      <c r="C6" s="18">
        <v>45742.0</v>
      </c>
      <c r="D6" s="179">
        <v>45742.0</v>
      </c>
      <c r="E6" s="20">
        <v>500.0</v>
      </c>
      <c r="F6" s="21"/>
      <c r="G6" s="22"/>
      <c r="H6" s="23"/>
      <c r="L6" s="185" t="s">
        <v>205</v>
      </c>
      <c r="M6" s="25">
        <v>45754.0</v>
      </c>
      <c r="N6" s="26">
        <v>500.0</v>
      </c>
      <c r="O6" s="180"/>
      <c r="Q6" s="182">
        <v>2.0</v>
      </c>
      <c r="R6" s="53" t="s">
        <v>206</v>
      </c>
      <c r="S6" s="65">
        <v>45771.0</v>
      </c>
      <c r="T6" s="66">
        <v>476.0</v>
      </c>
      <c r="U6" s="58" t="s">
        <v>29</v>
      </c>
      <c r="V6" s="184" t="s">
        <v>204</v>
      </c>
    </row>
    <row r="7">
      <c r="B7" s="17" t="s">
        <v>32</v>
      </c>
      <c r="C7" s="18">
        <v>45743.0</v>
      </c>
      <c r="D7" s="179">
        <v>45743.0</v>
      </c>
      <c r="E7" s="20">
        <v>500.0</v>
      </c>
      <c r="F7" s="21"/>
      <c r="G7" s="22"/>
      <c r="H7" s="23"/>
      <c r="L7" s="24" t="s">
        <v>207</v>
      </c>
      <c r="M7" s="25">
        <v>45754.0</v>
      </c>
      <c r="N7" s="26">
        <v>2400.0</v>
      </c>
      <c r="O7" s="180"/>
      <c r="Q7" s="182">
        <v>3.0</v>
      </c>
      <c r="R7" s="53" t="s">
        <v>208</v>
      </c>
      <c r="S7" s="65">
        <v>45776.0</v>
      </c>
      <c r="T7" s="66">
        <v>782.0</v>
      </c>
      <c r="U7" s="58" t="s">
        <v>29</v>
      </c>
      <c r="V7" s="184" t="s">
        <v>204</v>
      </c>
    </row>
    <row r="8">
      <c r="B8" s="17" t="s">
        <v>209</v>
      </c>
      <c r="C8" s="18">
        <v>45744.0</v>
      </c>
      <c r="D8" s="179">
        <v>45744.0</v>
      </c>
      <c r="E8" s="20">
        <v>500.0</v>
      </c>
      <c r="F8" s="21"/>
      <c r="G8" s="22"/>
      <c r="H8" s="23"/>
      <c r="L8" s="24" t="s">
        <v>210</v>
      </c>
      <c r="M8" s="25">
        <v>45756.0</v>
      </c>
      <c r="N8" s="26">
        <v>126.0</v>
      </c>
      <c r="O8" s="180"/>
      <c r="Q8" s="182">
        <v>4.0</v>
      </c>
      <c r="R8" s="53" t="s">
        <v>206</v>
      </c>
      <c r="S8" s="65">
        <v>45779.0</v>
      </c>
      <c r="T8" s="66">
        <v>143.0</v>
      </c>
      <c r="U8" s="58" t="s">
        <v>29</v>
      </c>
      <c r="V8" s="184" t="s">
        <v>204</v>
      </c>
    </row>
    <row r="9">
      <c r="B9" s="17" t="s">
        <v>32</v>
      </c>
      <c r="C9" s="18">
        <v>45737.0</v>
      </c>
      <c r="D9" s="179">
        <v>45737.0</v>
      </c>
      <c r="E9" s="20">
        <v>500.0</v>
      </c>
      <c r="F9" s="21"/>
      <c r="G9" s="22"/>
      <c r="H9" s="23"/>
      <c r="L9" s="24" t="s">
        <v>211</v>
      </c>
      <c r="M9" s="25">
        <v>45756.0</v>
      </c>
      <c r="N9" s="26">
        <v>119.0</v>
      </c>
      <c r="O9" s="180"/>
      <c r="Q9" s="182">
        <v>5.0</v>
      </c>
      <c r="R9" s="53" t="s">
        <v>212</v>
      </c>
      <c r="S9" s="65">
        <v>45785.0</v>
      </c>
      <c r="T9" s="66">
        <v>200.0</v>
      </c>
      <c r="U9" s="58"/>
      <c r="V9" s="184" t="s">
        <v>204</v>
      </c>
      <c r="Y9" s="5">
        <f>SUM(T6,T8,T9,T10,T11,T12,T13,T16,T17,T20,T21)</f>
        <v>2934</v>
      </c>
    </row>
    <row r="10">
      <c r="B10" s="17" t="s">
        <v>119</v>
      </c>
      <c r="C10" s="18">
        <v>45748.0</v>
      </c>
      <c r="D10" s="179">
        <v>45748.0</v>
      </c>
      <c r="E10" s="20">
        <v>380.0</v>
      </c>
      <c r="F10" s="21"/>
      <c r="G10" s="22"/>
      <c r="H10" s="23"/>
      <c r="L10" s="185" t="s">
        <v>205</v>
      </c>
      <c r="M10" s="25">
        <v>45757.0</v>
      </c>
      <c r="N10" s="26">
        <v>800.0</v>
      </c>
      <c r="O10" s="180"/>
      <c r="Q10" s="182">
        <v>6.0</v>
      </c>
      <c r="R10" s="53" t="s">
        <v>213</v>
      </c>
      <c r="S10" s="65">
        <v>45785.0</v>
      </c>
      <c r="T10" s="66">
        <v>468.0</v>
      </c>
      <c r="U10" s="58" t="s">
        <v>29</v>
      </c>
      <c r="V10" s="184" t="s">
        <v>204</v>
      </c>
    </row>
    <row r="11">
      <c r="B11" s="17" t="s">
        <v>214</v>
      </c>
      <c r="C11" s="18">
        <v>45748.0</v>
      </c>
      <c r="D11" s="179">
        <v>45748.0</v>
      </c>
      <c r="E11" s="20">
        <v>500.0</v>
      </c>
      <c r="F11" s="21"/>
      <c r="G11" s="22"/>
      <c r="H11" s="39"/>
      <c r="L11" s="186" t="s">
        <v>205</v>
      </c>
      <c r="M11" s="187">
        <v>45761.0</v>
      </c>
      <c r="N11" s="26">
        <v>500.0</v>
      </c>
      <c r="O11" s="99"/>
      <c r="Q11" s="182">
        <v>7.0</v>
      </c>
      <c r="R11" s="53" t="s">
        <v>215</v>
      </c>
      <c r="S11" s="65">
        <v>45789.0</v>
      </c>
      <c r="T11" s="66">
        <v>40.0</v>
      </c>
      <c r="U11" s="58"/>
      <c r="V11" s="184" t="s">
        <v>204</v>
      </c>
    </row>
    <row r="12">
      <c r="B12" s="17" t="s">
        <v>61</v>
      </c>
      <c r="C12" s="18">
        <v>45749.0</v>
      </c>
      <c r="D12" s="179">
        <v>45749.0</v>
      </c>
      <c r="E12" s="20">
        <v>500.0</v>
      </c>
      <c r="F12" s="21"/>
      <c r="G12" s="22"/>
      <c r="H12" s="39"/>
      <c r="L12" s="87" t="s">
        <v>216</v>
      </c>
      <c r="M12" s="187">
        <v>45752.0</v>
      </c>
      <c r="N12" s="26"/>
      <c r="O12" s="188" t="s">
        <v>217</v>
      </c>
      <c r="Q12" s="182">
        <v>8.0</v>
      </c>
      <c r="R12" s="53" t="s">
        <v>218</v>
      </c>
      <c r="S12" s="65">
        <v>45791.0</v>
      </c>
      <c r="T12" s="66">
        <v>416.0</v>
      </c>
      <c r="U12" s="58" t="s">
        <v>29</v>
      </c>
      <c r="V12" s="184" t="s">
        <v>204</v>
      </c>
    </row>
    <row r="13">
      <c r="B13" s="17" t="s">
        <v>32</v>
      </c>
      <c r="C13" s="18">
        <v>45750.0</v>
      </c>
      <c r="D13" s="179">
        <v>45750.0</v>
      </c>
      <c r="E13" s="20">
        <v>470.0</v>
      </c>
      <c r="F13" s="21"/>
      <c r="G13" s="22"/>
      <c r="H13" s="39"/>
      <c r="L13" s="87" t="s">
        <v>219</v>
      </c>
      <c r="M13" s="169">
        <v>45763.0</v>
      </c>
      <c r="N13" s="26">
        <v>990.0</v>
      </c>
      <c r="O13" s="99"/>
      <c r="Q13" s="182">
        <v>9.0</v>
      </c>
      <c r="R13" s="53" t="s">
        <v>220</v>
      </c>
      <c r="S13" s="65">
        <v>45791.0</v>
      </c>
      <c r="T13" s="66">
        <v>600.0</v>
      </c>
      <c r="U13" s="58"/>
      <c r="V13" s="184" t="s">
        <v>204</v>
      </c>
    </row>
    <row r="14">
      <c r="B14" s="17" t="s">
        <v>209</v>
      </c>
      <c r="C14" s="18">
        <v>45751.0</v>
      </c>
      <c r="D14" s="179">
        <v>45751.0</v>
      </c>
      <c r="E14" s="20">
        <v>500.0</v>
      </c>
      <c r="F14" s="21"/>
      <c r="G14" s="22"/>
      <c r="H14" s="39"/>
      <c r="L14" s="87" t="s">
        <v>221</v>
      </c>
      <c r="M14" s="169">
        <v>45764.0</v>
      </c>
      <c r="N14" s="26">
        <v>382.0</v>
      </c>
      <c r="O14" s="99"/>
      <c r="Q14" s="182">
        <v>10.0</v>
      </c>
      <c r="R14" s="53" t="s">
        <v>222</v>
      </c>
      <c r="S14" s="65">
        <v>45791.0</v>
      </c>
      <c r="T14" s="66">
        <v>60.0</v>
      </c>
      <c r="U14" s="58"/>
      <c r="V14" s="184" t="s">
        <v>204</v>
      </c>
    </row>
    <row r="15">
      <c r="B15" s="17" t="s">
        <v>223</v>
      </c>
      <c r="C15" s="18">
        <v>45752.0</v>
      </c>
      <c r="D15" s="179">
        <v>45752.0</v>
      </c>
      <c r="E15" s="20">
        <v>700.0</v>
      </c>
      <c r="F15" s="21"/>
      <c r="G15" s="22"/>
      <c r="H15" s="39"/>
      <c r="L15" s="87" t="s">
        <v>224</v>
      </c>
      <c r="M15" s="169">
        <v>45765.0</v>
      </c>
      <c r="N15" s="26">
        <v>54.0</v>
      </c>
      <c r="O15" s="99"/>
      <c r="Q15" s="182">
        <v>11.0</v>
      </c>
      <c r="R15" s="53" t="s">
        <v>225</v>
      </c>
      <c r="S15" s="65">
        <v>45792.0</v>
      </c>
      <c r="T15" s="66">
        <v>702.0</v>
      </c>
      <c r="U15" s="58" t="s">
        <v>29</v>
      </c>
      <c r="V15" s="184" t="s">
        <v>204</v>
      </c>
    </row>
    <row r="16">
      <c r="B16" s="17" t="s">
        <v>32</v>
      </c>
      <c r="C16" s="18">
        <v>45754.0</v>
      </c>
      <c r="D16" s="179">
        <v>45754.0</v>
      </c>
      <c r="E16" s="20">
        <v>500.0</v>
      </c>
      <c r="F16" s="21"/>
      <c r="G16" s="22"/>
      <c r="H16" s="39"/>
      <c r="L16" s="87" t="s">
        <v>226</v>
      </c>
      <c r="M16" s="169">
        <v>45765.0</v>
      </c>
      <c r="N16" s="26">
        <v>65.0</v>
      </c>
      <c r="O16" s="99"/>
      <c r="Q16" s="182">
        <v>12.0</v>
      </c>
      <c r="R16" s="53" t="s">
        <v>227</v>
      </c>
      <c r="S16" s="65">
        <v>45796.0</v>
      </c>
      <c r="T16" s="66">
        <v>271.0</v>
      </c>
      <c r="U16" s="58" t="s">
        <v>29</v>
      </c>
      <c r="V16" s="184" t="s">
        <v>204</v>
      </c>
    </row>
    <row r="17">
      <c r="B17" s="17" t="s">
        <v>26</v>
      </c>
      <c r="C17" s="18">
        <v>45756.0</v>
      </c>
      <c r="D17" s="179">
        <v>45756.0</v>
      </c>
      <c r="E17" s="20">
        <v>375.0</v>
      </c>
      <c r="F17" s="21"/>
      <c r="G17" s="22"/>
      <c r="H17" s="39"/>
      <c r="L17" s="186" t="s">
        <v>205</v>
      </c>
      <c r="M17" s="169">
        <v>45765.0</v>
      </c>
      <c r="N17" s="26">
        <v>50.0</v>
      </c>
      <c r="O17" s="99"/>
      <c r="R17" s="53" t="s">
        <v>228</v>
      </c>
      <c r="S17" s="65">
        <v>45809.0</v>
      </c>
      <c r="T17" s="66">
        <v>180.0</v>
      </c>
      <c r="U17" s="58" t="s">
        <v>29</v>
      </c>
      <c r="V17" s="184" t="s">
        <v>204</v>
      </c>
    </row>
    <row r="18">
      <c r="B18" s="17" t="s">
        <v>61</v>
      </c>
      <c r="C18" s="18">
        <v>45756.0</v>
      </c>
      <c r="D18" s="179">
        <v>45756.0</v>
      </c>
      <c r="E18" s="20">
        <v>375.0</v>
      </c>
      <c r="F18" s="21"/>
      <c r="G18" s="22"/>
      <c r="H18" s="39"/>
      <c r="L18" s="186" t="s">
        <v>205</v>
      </c>
      <c r="M18" s="169">
        <v>45766.0</v>
      </c>
      <c r="N18" s="26">
        <v>1200.0</v>
      </c>
      <c r="O18" s="99"/>
      <c r="R18" s="53" t="s">
        <v>206</v>
      </c>
      <c r="S18" s="65">
        <v>45806.0</v>
      </c>
      <c r="T18" s="66">
        <v>196.0</v>
      </c>
      <c r="U18" s="58" t="s">
        <v>29</v>
      </c>
      <c r="V18" s="184" t="s">
        <v>204</v>
      </c>
    </row>
    <row r="19">
      <c r="B19" s="17" t="s">
        <v>133</v>
      </c>
      <c r="C19" s="18">
        <v>45761.0</v>
      </c>
      <c r="D19" s="179">
        <v>45761.0</v>
      </c>
      <c r="E19" s="20">
        <v>250.0</v>
      </c>
      <c r="F19" s="21"/>
      <c r="G19" s="22"/>
      <c r="H19" s="39"/>
      <c r="L19" s="186" t="s">
        <v>205</v>
      </c>
      <c r="M19" s="169">
        <v>45767.0</v>
      </c>
      <c r="N19" s="26">
        <v>400.0</v>
      </c>
      <c r="O19" s="99"/>
      <c r="R19" s="53" t="s">
        <v>229</v>
      </c>
      <c r="S19" s="65">
        <v>45816.0</v>
      </c>
      <c r="T19" s="66">
        <v>50.0</v>
      </c>
      <c r="U19" s="58" t="s">
        <v>29</v>
      </c>
      <c r="V19" s="184" t="s">
        <v>204</v>
      </c>
    </row>
    <row r="20">
      <c r="B20" s="17" t="s">
        <v>32</v>
      </c>
      <c r="C20" s="18">
        <v>45761.0</v>
      </c>
      <c r="D20" s="179">
        <v>45761.0</v>
      </c>
      <c r="E20" s="20">
        <v>500.0</v>
      </c>
      <c r="F20" s="21"/>
      <c r="G20" s="22"/>
      <c r="H20" s="39"/>
      <c r="L20" s="87" t="s">
        <v>230</v>
      </c>
      <c r="M20" s="169">
        <v>45770.0</v>
      </c>
      <c r="N20" s="26">
        <v>110.0</v>
      </c>
      <c r="O20" s="99"/>
      <c r="R20" s="53" t="s">
        <v>231</v>
      </c>
      <c r="S20" s="65">
        <v>45839.0</v>
      </c>
      <c r="T20" s="66">
        <v>70.0</v>
      </c>
      <c r="U20" s="58"/>
      <c r="V20" s="184" t="s">
        <v>204</v>
      </c>
    </row>
    <row r="21" ht="15.75" customHeight="1">
      <c r="B21" s="17" t="s">
        <v>26</v>
      </c>
      <c r="C21" s="18">
        <v>45763.0</v>
      </c>
      <c r="D21" s="179">
        <v>45763.0</v>
      </c>
      <c r="E21" s="20">
        <v>500.0</v>
      </c>
      <c r="F21" s="21"/>
      <c r="G21" s="22"/>
      <c r="H21" s="39"/>
      <c r="L21" s="87" t="s">
        <v>232</v>
      </c>
      <c r="M21" s="189">
        <v>45771.0</v>
      </c>
      <c r="N21" s="26">
        <v>36.0</v>
      </c>
      <c r="O21" s="99"/>
      <c r="R21" s="53" t="s">
        <v>233</v>
      </c>
      <c r="S21" s="65">
        <v>45840.0</v>
      </c>
      <c r="T21" s="66">
        <v>70.0</v>
      </c>
      <c r="U21" s="58"/>
      <c r="V21" s="184" t="s">
        <v>204</v>
      </c>
    </row>
    <row r="22" ht="15.75" customHeight="1">
      <c r="B22" s="17" t="s">
        <v>61</v>
      </c>
      <c r="C22" s="18">
        <v>45763.0</v>
      </c>
      <c r="D22" s="179">
        <v>45763.0</v>
      </c>
      <c r="E22" s="20">
        <v>370.0</v>
      </c>
      <c r="F22" s="21"/>
      <c r="G22" s="22"/>
      <c r="H22" s="39"/>
      <c r="L22" s="87" t="s">
        <v>234</v>
      </c>
      <c r="M22" s="169">
        <v>45771.0</v>
      </c>
      <c r="N22" s="26">
        <v>118.0</v>
      </c>
      <c r="O22" s="99"/>
      <c r="R22" s="53" t="s">
        <v>235</v>
      </c>
      <c r="S22" s="65">
        <v>45862.0</v>
      </c>
      <c r="T22" s="66">
        <v>195.0</v>
      </c>
      <c r="U22" s="58" t="s">
        <v>29</v>
      </c>
      <c r="V22" s="184" t="s">
        <v>204</v>
      </c>
    </row>
    <row r="23" ht="15.75" customHeight="1">
      <c r="B23" s="17"/>
      <c r="C23" s="18"/>
      <c r="D23" s="179"/>
      <c r="E23" s="20"/>
      <c r="F23" s="21"/>
      <c r="G23" s="22"/>
      <c r="H23" s="39"/>
      <c r="L23" s="186" t="s">
        <v>205</v>
      </c>
      <c r="M23" s="169">
        <v>45773.0</v>
      </c>
      <c r="N23" s="26">
        <v>550.0</v>
      </c>
      <c r="O23" s="99"/>
      <c r="R23" s="53" t="s">
        <v>236</v>
      </c>
      <c r="S23" s="65">
        <v>45862.0</v>
      </c>
      <c r="T23" s="66">
        <v>246.0</v>
      </c>
      <c r="U23" s="58" t="s">
        <v>29</v>
      </c>
      <c r="V23" s="184" t="s">
        <v>204</v>
      </c>
    </row>
    <row r="24" ht="15.75" customHeight="1">
      <c r="B24" s="17"/>
      <c r="C24" s="18"/>
      <c r="D24" s="179"/>
      <c r="E24" s="20"/>
      <c r="F24" s="21"/>
      <c r="G24" s="22"/>
      <c r="H24" s="39"/>
      <c r="L24" s="186" t="s">
        <v>205</v>
      </c>
      <c r="M24" s="169">
        <v>45775.0</v>
      </c>
      <c r="N24" s="26">
        <v>750.0</v>
      </c>
      <c r="O24" s="99"/>
      <c r="R24" s="53" t="s">
        <v>228</v>
      </c>
      <c r="S24" s="65">
        <v>45891.0</v>
      </c>
      <c r="T24" s="66">
        <v>80.0</v>
      </c>
      <c r="U24" s="58" t="s">
        <v>29</v>
      </c>
      <c r="V24" s="184" t="s">
        <v>204</v>
      </c>
    </row>
    <row r="25" ht="15.75" customHeight="1">
      <c r="B25" s="17" t="s">
        <v>119</v>
      </c>
      <c r="C25" s="18">
        <v>45764.0</v>
      </c>
      <c r="D25" s="179">
        <v>45764.0</v>
      </c>
      <c r="E25" s="20">
        <v>250.0</v>
      </c>
      <c r="F25" s="21"/>
      <c r="G25" s="22"/>
      <c r="H25" s="39"/>
      <c r="L25" s="87" t="s">
        <v>237</v>
      </c>
      <c r="M25" s="169">
        <v>45776.0</v>
      </c>
      <c r="N25" s="26">
        <v>29.0</v>
      </c>
      <c r="O25" s="99"/>
      <c r="R25" s="53"/>
      <c r="S25" s="65"/>
      <c r="T25" s="66"/>
      <c r="U25" s="58"/>
      <c r="V25" s="184"/>
    </row>
    <row r="26" ht="15.75" customHeight="1">
      <c r="B26" s="17" t="s">
        <v>32</v>
      </c>
      <c r="C26" s="18">
        <v>45764.0</v>
      </c>
      <c r="D26" s="179">
        <v>45764.0</v>
      </c>
      <c r="E26" s="20">
        <v>450.0</v>
      </c>
      <c r="F26" s="21"/>
      <c r="G26" s="22"/>
      <c r="H26" s="39"/>
      <c r="L26" s="186" t="s">
        <v>205</v>
      </c>
      <c r="M26" s="169">
        <v>45777.0</v>
      </c>
      <c r="N26" s="26">
        <v>250.0</v>
      </c>
      <c r="O26" s="99"/>
      <c r="R26" s="53"/>
      <c r="S26" s="65"/>
      <c r="T26" s="66"/>
      <c r="U26" s="58"/>
      <c r="V26" s="184"/>
    </row>
    <row r="27" ht="15.75" customHeight="1">
      <c r="B27" s="17" t="s">
        <v>209</v>
      </c>
      <c r="C27" s="18">
        <v>45765.0</v>
      </c>
      <c r="D27" s="179">
        <v>45765.0</v>
      </c>
      <c r="E27" s="20">
        <v>500.0</v>
      </c>
      <c r="F27" s="21"/>
      <c r="G27" s="22"/>
      <c r="H27" s="39"/>
      <c r="L27" s="190" t="s">
        <v>238</v>
      </c>
      <c r="M27" s="169">
        <v>45777.0</v>
      </c>
      <c r="N27" s="26">
        <v>1000.0</v>
      </c>
      <c r="O27" s="99"/>
      <c r="R27" s="53"/>
      <c r="S27" s="65"/>
      <c r="T27" s="66"/>
      <c r="U27" s="58"/>
      <c r="V27" s="184"/>
    </row>
    <row r="28" ht="15.75" customHeight="1">
      <c r="B28" s="17" t="s">
        <v>32</v>
      </c>
      <c r="C28" s="18">
        <v>45768.0</v>
      </c>
      <c r="D28" s="179">
        <v>45768.0</v>
      </c>
      <c r="E28" s="20">
        <v>480.0</v>
      </c>
      <c r="F28" s="21"/>
      <c r="G28" s="22"/>
      <c r="H28" s="39"/>
      <c r="L28" s="87" t="s">
        <v>239</v>
      </c>
      <c r="M28" s="169">
        <v>45779.0</v>
      </c>
      <c r="N28" s="26">
        <v>2000.0</v>
      </c>
      <c r="O28" s="99"/>
      <c r="R28" s="53"/>
      <c r="S28" s="65"/>
      <c r="T28" s="66"/>
      <c r="U28" s="58"/>
      <c r="V28" s="184"/>
    </row>
    <row r="29" ht="15.75" customHeight="1">
      <c r="B29" s="17" t="s">
        <v>240</v>
      </c>
      <c r="C29" s="18">
        <v>45768.0</v>
      </c>
      <c r="D29" s="179">
        <v>45768.0</v>
      </c>
      <c r="E29" s="20">
        <v>250.0</v>
      </c>
      <c r="F29" s="21"/>
      <c r="G29" s="22"/>
      <c r="H29" s="39"/>
      <c r="L29" s="191" t="s">
        <v>241</v>
      </c>
      <c r="M29" s="192">
        <v>45779.0</v>
      </c>
      <c r="N29" s="193">
        <v>200.0</v>
      </c>
      <c r="O29" s="99"/>
      <c r="R29" s="53"/>
      <c r="S29" s="65"/>
      <c r="T29" s="66"/>
      <c r="U29" s="58"/>
      <c r="V29" s="184"/>
    </row>
    <row r="30" ht="15.75" customHeight="1">
      <c r="B30" s="17" t="s">
        <v>214</v>
      </c>
      <c r="C30" s="18">
        <v>45769.0</v>
      </c>
      <c r="D30" s="179">
        <v>45769.0</v>
      </c>
      <c r="E30" s="20">
        <v>500.0</v>
      </c>
      <c r="F30" s="21"/>
      <c r="G30" s="22"/>
      <c r="H30" s="39"/>
      <c r="L30" s="191" t="s">
        <v>241</v>
      </c>
      <c r="M30" s="192">
        <v>45781.0</v>
      </c>
      <c r="N30" s="193">
        <v>400.0</v>
      </c>
      <c r="O30" s="99"/>
      <c r="R30" s="53"/>
      <c r="S30" s="65"/>
      <c r="T30" s="66"/>
      <c r="U30" s="58"/>
      <c r="V30" s="184"/>
    </row>
    <row r="31" ht="15.75" customHeight="1">
      <c r="B31" s="17" t="s">
        <v>26</v>
      </c>
      <c r="C31" s="18">
        <v>45770.0</v>
      </c>
      <c r="D31" s="179">
        <v>45771.0</v>
      </c>
      <c r="E31" s="20">
        <v>500.0</v>
      </c>
      <c r="F31" s="21"/>
      <c r="G31" s="22"/>
      <c r="H31" s="39"/>
      <c r="L31" s="191" t="s">
        <v>241</v>
      </c>
      <c r="M31" s="192">
        <v>45782.0</v>
      </c>
      <c r="N31" s="193">
        <v>200.0</v>
      </c>
      <c r="O31" s="99"/>
      <c r="R31" s="53"/>
      <c r="S31" s="65"/>
      <c r="T31" s="66"/>
      <c r="U31" s="58"/>
      <c r="V31" s="184"/>
    </row>
    <row r="32" ht="15.75" customHeight="1">
      <c r="B32" s="17" t="s">
        <v>242</v>
      </c>
      <c r="C32" s="18">
        <v>45771.0</v>
      </c>
      <c r="D32" s="179">
        <v>45771.0</v>
      </c>
      <c r="E32" s="20">
        <v>335.0</v>
      </c>
      <c r="F32" s="21"/>
      <c r="G32" s="22"/>
      <c r="H32" s="39"/>
      <c r="L32" s="191" t="s">
        <v>241</v>
      </c>
      <c r="M32" s="192">
        <v>45784.0</v>
      </c>
      <c r="N32" s="193">
        <v>300.0</v>
      </c>
      <c r="O32" s="99"/>
      <c r="R32" s="53"/>
      <c r="S32" s="65"/>
      <c r="T32" s="66"/>
      <c r="U32" s="58"/>
      <c r="V32" s="184"/>
    </row>
    <row r="33" ht="15.75" customHeight="1">
      <c r="B33" s="17" t="s">
        <v>32</v>
      </c>
      <c r="C33" s="18">
        <v>45771.0</v>
      </c>
      <c r="D33" s="179">
        <v>45771.0</v>
      </c>
      <c r="E33" s="20">
        <v>485.0</v>
      </c>
      <c r="F33" s="21"/>
      <c r="G33" s="22"/>
      <c r="H33" s="39"/>
      <c r="L33" s="87" t="s">
        <v>243</v>
      </c>
      <c r="M33" s="169">
        <v>45786.0</v>
      </c>
      <c r="N33" s="26">
        <v>4000.0</v>
      </c>
      <c r="O33" s="99"/>
      <c r="R33" s="53"/>
      <c r="S33" s="65"/>
      <c r="T33" s="66"/>
      <c r="U33" s="58"/>
      <c r="V33" s="184"/>
    </row>
    <row r="34" ht="15.75" customHeight="1">
      <c r="B34" s="17" t="s">
        <v>209</v>
      </c>
      <c r="C34" s="18">
        <v>45772.0</v>
      </c>
      <c r="D34" s="179">
        <v>45772.0</v>
      </c>
      <c r="E34" s="20">
        <v>500.0</v>
      </c>
      <c r="F34" s="21"/>
      <c r="G34" s="22"/>
      <c r="H34" s="39"/>
      <c r="L34" s="191" t="s">
        <v>241</v>
      </c>
      <c r="M34" s="192">
        <v>45791.0</v>
      </c>
      <c r="N34" s="193">
        <v>200.0</v>
      </c>
      <c r="O34" s="99"/>
      <c r="R34" s="53"/>
      <c r="S34" s="65"/>
      <c r="T34" s="66"/>
      <c r="U34" s="58"/>
      <c r="V34" s="184"/>
    </row>
    <row r="35" ht="15.75" customHeight="1">
      <c r="B35" s="17" t="s">
        <v>244</v>
      </c>
      <c r="C35" s="18">
        <v>45772.0</v>
      </c>
      <c r="D35" s="179">
        <v>45772.0</v>
      </c>
      <c r="E35" s="20">
        <v>500.0</v>
      </c>
      <c r="F35" s="21"/>
      <c r="G35" s="22"/>
      <c r="H35" s="39"/>
      <c r="L35" s="191" t="s">
        <v>241</v>
      </c>
      <c r="M35" s="192">
        <v>45792.0</v>
      </c>
      <c r="N35" s="193">
        <v>200.0</v>
      </c>
      <c r="O35" s="99"/>
      <c r="R35" s="53"/>
      <c r="S35" s="65"/>
      <c r="T35" s="66"/>
      <c r="U35" s="58"/>
      <c r="V35" s="184"/>
    </row>
    <row r="36" ht="15.75" customHeight="1">
      <c r="B36" s="17" t="s">
        <v>245</v>
      </c>
      <c r="C36" s="18">
        <v>45775.0</v>
      </c>
      <c r="D36" s="179">
        <v>45775.0</v>
      </c>
      <c r="E36" s="20">
        <v>500.0</v>
      </c>
      <c r="F36" s="21"/>
      <c r="G36" s="22"/>
      <c r="H36" s="39"/>
      <c r="L36" s="191" t="s">
        <v>241</v>
      </c>
      <c r="M36" s="192">
        <v>45795.0</v>
      </c>
      <c r="N36" s="193">
        <v>200.0</v>
      </c>
      <c r="O36" s="99"/>
      <c r="R36" s="53"/>
      <c r="S36" s="65"/>
      <c r="T36" s="66"/>
      <c r="U36" s="58"/>
      <c r="V36" s="184"/>
    </row>
    <row r="37" ht="15.75" customHeight="1">
      <c r="B37" s="17" t="s">
        <v>36</v>
      </c>
      <c r="C37" s="18">
        <v>45776.0</v>
      </c>
      <c r="D37" s="179">
        <v>45776.0</v>
      </c>
      <c r="E37" s="20">
        <v>2600.0</v>
      </c>
      <c r="F37" s="21"/>
      <c r="G37" s="22"/>
      <c r="H37" s="39"/>
      <c r="L37" s="191" t="s">
        <v>241</v>
      </c>
      <c r="M37" s="192">
        <v>45797.0</v>
      </c>
      <c r="N37" s="193">
        <v>600.0</v>
      </c>
      <c r="O37" s="99"/>
      <c r="R37" s="53"/>
      <c r="S37" s="65"/>
      <c r="T37" s="66"/>
      <c r="U37" s="58"/>
      <c r="V37" s="184"/>
    </row>
    <row r="38" ht="15.75" customHeight="1">
      <c r="B38" s="17" t="s">
        <v>26</v>
      </c>
      <c r="C38" s="18">
        <v>45777.0</v>
      </c>
      <c r="D38" s="179">
        <v>45777.0</v>
      </c>
      <c r="E38" s="20">
        <v>500.0</v>
      </c>
      <c r="F38" s="21"/>
      <c r="G38" s="22"/>
      <c r="H38" s="39"/>
      <c r="L38" s="191" t="s">
        <v>241</v>
      </c>
      <c r="M38" s="192">
        <v>45801.0</v>
      </c>
      <c r="N38" s="193">
        <v>2000.0</v>
      </c>
      <c r="O38" s="99"/>
      <c r="R38" s="53"/>
      <c r="S38" s="65"/>
      <c r="T38" s="66"/>
      <c r="U38" s="58"/>
      <c r="V38" s="184"/>
    </row>
    <row r="39" ht="15.75" customHeight="1">
      <c r="B39" s="17" t="s">
        <v>61</v>
      </c>
      <c r="C39" s="18">
        <v>45777.0</v>
      </c>
      <c r="D39" s="179">
        <v>45777.0</v>
      </c>
      <c r="E39" s="20">
        <v>500.0</v>
      </c>
      <c r="F39" s="21"/>
      <c r="G39" s="22"/>
      <c r="H39" s="39"/>
      <c r="L39" s="191" t="s">
        <v>241</v>
      </c>
      <c r="M39" s="192">
        <v>45803.0</v>
      </c>
      <c r="N39" s="193">
        <v>300.0</v>
      </c>
      <c r="O39" s="99"/>
      <c r="R39" s="53"/>
      <c r="S39" s="65"/>
      <c r="T39" s="66"/>
      <c r="U39" s="58"/>
      <c r="V39" s="184"/>
    </row>
    <row r="40" ht="15.75" customHeight="1">
      <c r="B40" s="17" t="s">
        <v>32</v>
      </c>
      <c r="C40" s="18">
        <v>45778.0</v>
      </c>
      <c r="D40" s="179">
        <v>45778.0</v>
      </c>
      <c r="E40" s="20">
        <v>500.0</v>
      </c>
      <c r="F40" s="21"/>
      <c r="G40" s="22"/>
      <c r="H40" s="39"/>
      <c r="L40" s="191" t="s">
        <v>241</v>
      </c>
      <c r="M40" s="192">
        <v>45805.0</v>
      </c>
      <c r="N40" s="193">
        <v>600.0</v>
      </c>
      <c r="O40" s="99"/>
      <c r="R40" s="53"/>
      <c r="S40" s="65"/>
      <c r="T40" s="66"/>
      <c r="U40" s="58"/>
      <c r="V40" s="184"/>
    </row>
    <row r="41" ht="15.75" customHeight="1">
      <c r="B41" s="17" t="s">
        <v>209</v>
      </c>
      <c r="C41" s="18">
        <v>45779.0</v>
      </c>
      <c r="D41" s="179">
        <v>45779.0</v>
      </c>
      <c r="E41" s="20">
        <v>500.0</v>
      </c>
      <c r="F41" s="21"/>
      <c r="G41" s="22"/>
      <c r="H41" s="39"/>
      <c r="L41" s="191" t="s">
        <v>241</v>
      </c>
      <c r="M41" s="192">
        <v>45807.0</v>
      </c>
      <c r="N41" s="193">
        <v>200.0</v>
      </c>
      <c r="O41" s="99"/>
      <c r="R41" s="53"/>
      <c r="S41" s="65"/>
      <c r="T41" s="66"/>
      <c r="U41" s="58"/>
      <c r="V41" s="184"/>
    </row>
    <row r="42" ht="15.75" customHeight="1">
      <c r="B42" s="17" t="s">
        <v>242</v>
      </c>
      <c r="C42" s="18">
        <v>45779.0</v>
      </c>
      <c r="D42" s="179">
        <v>45779.0</v>
      </c>
      <c r="E42" s="20">
        <v>380.0</v>
      </c>
      <c r="F42" s="21"/>
      <c r="G42" s="22"/>
      <c r="H42" s="39"/>
      <c r="L42" s="191" t="s">
        <v>241</v>
      </c>
      <c r="M42" s="192">
        <v>45807.0</v>
      </c>
      <c r="N42" s="193">
        <v>600.0</v>
      </c>
      <c r="O42" s="99"/>
      <c r="R42" s="53"/>
      <c r="S42" s="65"/>
      <c r="T42" s="66"/>
      <c r="U42" s="58"/>
      <c r="V42" s="184"/>
    </row>
    <row r="43" ht="15.75" customHeight="1">
      <c r="B43" s="17" t="s">
        <v>246</v>
      </c>
      <c r="C43" s="18">
        <v>45782.0</v>
      </c>
      <c r="D43" s="179">
        <v>45782.0</v>
      </c>
      <c r="E43" s="20">
        <v>375.0</v>
      </c>
      <c r="F43" s="21"/>
      <c r="G43" s="22"/>
      <c r="H43" s="39"/>
      <c r="L43" s="194" t="s">
        <v>247</v>
      </c>
      <c r="M43" s="195">
        <v>45810.0</v>
      </c>
      <c r="N43" s="196">
        <v>200.0</v>
      </c>
      <c r="O43" s="99"/>
      <c r="R43" s="53"/>
      <c r="S43" s="65"/>
      <c r="T43" s="66"/>
      <c r="U43" s="58"/>
      <c r="V43" s="184"/>
    </row>
    <row r="44" ht="15.75" customHeight="1">
      <c r="B44" s="17" t="s">
        <v>245</v>
      </c>
      <c r="C44" s="18">
        <v>45782.0</v>
      </c>
      <c r="D44" s="179">
        <v>45782.0</v>
      </c>
      <c r="E44" s="20">
        <v>465.0</v>
      </c>
      <c r="F44" s="21"/>
      <c r="G44" s="22"/>
      <c r="H44" s="39"/>
      <c r="L44" s="194" t="s">
        <v>247</v>
      </c>
      <c r="M44" s="195">
        <v>45811.0</v>
      </c>
      <c r="N44" s="196">
        <v>450.0</v>
      </c>
      <c r="O44" s="99"/>
      <c r="R44" s="53"/>
      <c r="S44" s="65"/>
      <c r="T44" s="66"/>
      <c r="U44" s="58"/>
      <c r="V44" s="184"/>
    </row>
    <row r="45" ht="15.75" customHeight="1">
      <c r="B45" s="17" t="s">
        <v>26</v>
      </c>
      <c r="C45" s="18">
        <v>45784.0</v>
      </c>
      <c r="D45" s="179">
        <v>45784.0</v>
      </c>
      <c r="E45" s="20">
        <v>400.0</v>
      </c>
      <c r="F45" s="21"/>
      <c r="G45" s="22"/>
      <c r="H45" s="39"/>
      <c r="L45" s="194" t="s">
        <v>247</v>
      </c>
      <c r="M45" s="195">
        <v>45813.0</v>
      </c>
      <c r="N45" s="196">
        <v>1000.0</v>
      </c>
      <c r="O45" s="99"/>
      <c r="R45" s="53"/>
      <c r="S45" s="65"/>
      <c r="T45" s="66"/>
      <c r="U45" s="58"/>
      <c r="V45" s="184"/>
    </row>
    <row r="46" ht="15.75" customHeight="1">
      <c r="B46" s="17" t="s">
        <v>242</v>
      </c>
      <c r="C46" s="18">
        <v>45785.0</v>
      </c>
      <c r="D46" s="179">
        <v>45785.0</v>
      </c>
      <c r="E46" s="20">
        <v>380.0</v>
      </c>
      <c r="F46" s="21"/>
      <c r="G46" s="22"/>
      <c r="H46" s="39"/>
      <c r="L46" s="87" t="s">
        <v>248</v>
      </c>
      <c r="M46" s="169">
        <v>45817.0</v>
      </c>
      <c r="N46" s="26">
        <v>350.0</v>
      </c>
      <c r="O46" s="99"/>
      <c r="R46" s="53"/>
      <c r="S46" s="65"/>
      <c r="T46" s="66"/>
      <c r="U46" s="58"/>
      <c r="V46" s="184"/>
    </row>
    <row r="47" ht="15.75" customHeight="1">
      <c r="B47" s="17" t="s">
        <v>246</v>
      </c>
      <c r="C47" s="18">
        <v>45789.0</v>
      </c>
      <c r="D47" s="179">
        <v>45789.0</v>
      </c>
      <c r="E47" s="20">
        <v>375.0</v>
      </c>
      <c r="F47" s="21"/>
      <c r="G47" s="22"/>
      <c r="H47" s="39"/>
      <c r="L47" s="87" t="s">
        <v>249</v>
      </c>
      <c r="M47" s="169">
        <v>45817.0</v>
      </c>
      <c r="N47" s="26">
        <v>320.0</v>
      </c>
      <c r="O47" s="99"/>
      <c r="R47" s="53"/>
      <c r="S47" s="65"/>
      <c r="T47" s="66"/>
      <c r="U47" s="58"/>
      <c r="V47" s="184"/>
    </row>
    <row r="48" ht="15.75" customHeight="1">
      <c r="B48" s="17" t="s">
        <v>61</v>
      </c>
      <c r="C48" s="18">
        <v>45789.0</v>
      </c>
      <c r="D48" s="179">
        <f>C48</f>
        <v>45789</v>
      </c>
      <c r="E48" s="20">
        <v>375.0</v>
      </c>
      <c r="F48" s="21"/>
      <c r="G48" s="22"/>
      <c r="H48" s="39"/>
      <c r="L48" s="194" t="s">
        <v>247</v>
      </c>
      <c r="M48" s="195">
        <v>45817.0</v>
      </c>
      <c r="N48" s="196">
        <v>400.0</v>
      </c>
      <c r="O48" s="99"/>
      <c r="R48" s="53"/>
      <c r="S48" s="65"/>
      <c r="T48" s="66"/>
      <c r="U48" s="58"/>
      <c r="V48" s="184"/>
    </row>
    <row r="49" ht="15.75" customHeight="1">
      <c r="B49" s="17" t="s">
        <v>176</v>
      </c>
      <c r="C49" s="18">
        <v>45790.0</v>
      </c>
      <c r="D49" s="179">
        <f t="shared" ref="D49:D134" si="1">IF(C49="","",C49)</f>
        <v>45790</v>
      </c>
      <c r="E49" s="20">
        <v>250.0</v>
      </c>
      <c r="F49" s="21"/>
      <c r="G49" s="22"/>
      <c r="H49" s="39"/>
      <c r="L49" s="194" t="s">
        <v>247</v>
      </c>
      <c r="M49" s="195">
        <v>45818.0</v>
      </c>
      <c r="N49" s="196">
        <v>200.0</v>
      </c>
      <c r="O49" s="99"/>
      <c r="R49" s="53"/>
      <c r="S49" s="65"/>
      <c r="T49" s="66"/>
      <c r="U49" s="58"/>
      <c r="V49" s="184"/>
    </row>
    <row r="50" ht="15.75" customHeight="1">
      <c r="B50" s="17" t="s">
        <v>214</v>
      </c>
      <c r="C50" s="18">
        <v>45790.0</v>
      </c>
      <c r="D50" s="179">
        <f t="shared" si="1"/>
        <v>45790</v>
      </c>
      <c r="E50" s="20">
        <v>500.0</v>
      </c>
      <c r="F50" s="21"/>
      <c r="G50" s="22"/>
      <c r="H50" s="39"/>
      <c r="L50" s="194" t="s">
        <v>247</v>
      </c>
      <c r="M50" s="195">
        <v>45819.0</v>
      </c>
      <c r="N50" s="196">
        <v>500.0</v>
      </c>
      <c r="O50" s="99"/>
      <c r="R50" s="53"/>
      <c r="S50" s="65"/>
      <c r="T50" s="66"/>
      <c r="U50" s="58"/>
      <c r="V50" s="184"/>
    </row>
    <row r="51" ht="15.75" customHeight="1">
      <c r="B51" s="17" t="s">
        <v>26</v>
      </c>
      <c r="C51" s="18">
        <v>45791.0</v>
      </c>
      <c r="D51" s="179">
        <f t="shared" si="1"/>
        <v>45791</v>
      </c>
      <c r="E51" s="20">
        <v>470.0</v>
      </c>
      <c r="F51" s="21"/>
      <c r="G51" s="22"/>
      <c r="H51" s="39"/>
      <c r="L51" s="194" t="s">
        <v>247</v>
      </c>
      <c r="M51" s="195">
        <v>45822.0</v>
      </c>
      <c r="N51" s="196">
        <v>2000.0</v>
      </c>
      <c r="O51" s="99"/>
      <c r="R51" s="53"/>
      <c r="S51" s="65"/>
      <c r="T51" s="66"/>
      <c r="U51" s="58"/>
      <c r="V51" s="184"/>
    </row>
    <row r="52" ht="15.75" customHeight="1">
      <c r="B52" s="17" t="s">
        <v>61</v>
      </c>
      <c r="C52" s="18">
        <v>45791.0</v>
      </c>
      <c r="D52" s="179">
        <f t="shared" si="1"/>
        <v>45791</v>
      </c>
      <c r="E52" s="20">
        <v>370.0</v>
      </c>
      <c r="F52" s="21"/>
      <c r="G52" s="22"/>
      <c r="H52" s="39"/>
      <c r="L52" s="194" t="s">
        <v>247</v>
      </c>
      <c r="M52" s="195">
        <v>45823.0</v>
      </c>
      <c r="N52" s="196">
        <v>200.0</v>
      </c>
      <c r="O52" s="99"/>
      <c r="R52" s="53"/>
      <c r="S52" s="65"/>
      <c r="T52" s="66"/>
      <c r="U52" s="58"/>
      <c r="V52" s="184"/>
    </row>
    <row r="53" ht="15.75" customHeight="1">
      <c r="B53" s="17" t="s">
        <v>245</v>
      </c>
      <c r="C53" s="18">
        <v>45792.0</v>
      </c>
      <c r="D53" s="179">
        <f t="shared" si="1"/>
        <v>45792</v>
      </c>
      <c r="E53" s="20">
        <v>250.0</v>
      </c>
      <c r="F53" s="21"/>
      <c r="G53" s="22"/>
      <c r="H53" s="39"/>
      <c r="L53" s="194" t="s">
        <v>247</v>
      </c>
      <c r="M53" s="195">
        <v>45824.0</v>
      </c>
      <c r="N53" s="196">
        <v>300.0</v>
      </c>
      <c r="O53" s="99"/>
      <c r="R53" s="53"/>
      <c r="S53" s="65"/>
      <c r="T53" s="66"/>
      <c r="U53" s="58"/>
      <c r="V53" s="184"/>
    </row>
    <row r="54" ht="15.75" customHeight="1">
      <c r="B54" s="17" t="s">
        <v>133</v>
      </c>
      <c r="C54" s="18">
        <v>45796.0</v>
      </c>
      <c r="D54" s="179">
        <f t="shared" si="1"/>
        <v>45796</v>
      </c>
      <c r="E54" s="20">
        <v>375.0</v>
      </c>
      <c r="F54" s="21"/>
      <c r="G54" s="22"/>
      <c r="H54" s="39"/>
      <c r="L54" s="194" t="s">
        <v>247</v>
      </c>
      <c r="M54" s="195">
        <v>45826.0</v>
      </c>
      <c r="N54" s="196">
        <v>600.0</v>
      </c>
      <c r="O54" s="99"/>
      <c r="R54" s="53"/>
      <c r="S54" s="65"/>
      <c r="T54" s="66"/>
      <c r="U54" s="58"/>
      <c r="V54" s="184"/>
    </row>
    <row r="55" ht="15.75" customHeight="1">
      <c r="B55" s="17" t="s">
        <v>32</v>
      </c>
      <c r="C55" s="18">
        <v>45796.0</v>
      </c>
      <c r="D55" s="179">
        <f t="shared" si="1"/>
        <v>45796</v>
      </c>
      <c r="E55" s="20">
        <v>455.0</v>
      </c>
      <c r="F55" s="21"/>
      <c r="G55" s="22"/>
      <c r="H55" s="39"/>
      <c r="L55" s="194" t="s">
        <v>247</v>
      </c>
      <c r="M55" s="195">
        <v>45828.0</v>
      </c>
      <c r="N55" s="196">
        <v>150.0</v>
      </c>
      <c r="O55" s="99"/>
      <c r="R55" s="53"/>
      <c r="S55" s="65"/>
      <c r="T55" s="66"/>
      <c r="U55" s="58"/>
      <c r="V55" s="184"/>
    </row>
    <row r="56" ht="15.75" customHeight="1">
      <c r="B56" s="17" t="s">
        <v>214</v>
      </c>
      <c r="C56" s="18">
        <v>45797.0</v>
      </c>
      <c r="D56" s="179">
        <f t="shared" si="1"/>
        <v>45797</v>
      </c>
      <c r="E56" s="20">
        <v>500.0</v>
      </c>
      <c r="F56" s="21"/>
      <c r="G56" s="22"/>
      <c r="H56" s="39"/>
      <c r="L56" s="190" t="s">
        <v>250</v>
      </c>
      <c r="M56" s="197">
        <v>45828.0</v>
      </c>
      <c r="N56" s="198">
        <v>1850.0</v>
      </c>
      <c r="O56" s="99"/>
      <c r="R56" s="53"/>
      <c r="S56" s="65"/>
      <c r="T56" s="66"/>
      <c r="U56" s="58"/>
      <c r="V56" s="184"/>
    </row>
    <row r="57" ht="15.75" customHeight="1">
      <c r="B57" s="17" t="s">
        <v>26</v>
      </c>
      <c r="C57" s="18">
        <v>45798.0</v>
      </c>
      <c r="D57" s="179">
        <f t="shared" si="1"/>
        <v>45798</v>
      </c>
      <c r="E57" s="20">
        <v>500.0</v>
      </c>
      <c r="F57" s="21"/>
      <c r="G57" s="22"/>
      <c r="H57" s="39"/>
      <c r="L57" s="190" t="s">
        <v>250</v>
      </c>
      <c r="M57" s="197">
        <v>45828.0</v>
      </c>
      <c r="N57" s="198">
        <v>500.0</v>
      </c>
      <c r="O57" s="99"/>
      <c r="R57" s="53"/>
      <c r="S57" s="65"/>
      <c r="T57" s="66"/>
      <c r="U57" s="58"/>
      <c r="V57" s="184"/>
    </row>
    <row r="58" ht="15.75" customHeight="1">
      <c r="B58" s="17" t="s">
        <v>61</v>
      </c>
      <c r="C58" s="18">
        <v>45798.0</v>
      </c>
      <c r="D58" s="179">
        <f t="shared" si="1"/>
        <v>45798</v>
      </c>
      <c r="E58" s="20">
        <v>500.0</v>
      </c>
      <c r="F58" s="21"/>
      <c r="G58" s="22"/>
      <c r="H58" s="39"/>
      <c r="L58" s="172" t="s">
        <v>243</v>
      </c>
      <c r="M58" s="199">
        <v>45846.0</v>
      </c>
      <c r="N58" s="200">
        <v>3000.0</v>
      </c>
      <c r="O58" s="201"/>
      <c r="R58" s="53"/>
      <c r="S58" s="65"/>
      <c r="T58" s="66"/>
      <c r="U58" s="58"/>
      <c r="V58" s="184"/>
    </row>
    <row r="59" ht="15.75" customHeight="1">
      <c r="B59" s="17" t="s">
        <v>133</v>
      </c>
      <c r="C59" s="18">
        <v>45797.0</v>
      </c>
      <c r="D59" s="179">
        <f t="shared" si="1"/>
        <v>45797</v>
      </c>
      <c r="E59" s="20">
        <v>300.0</v>
      </c>
      <c r="F59" s="21"/>
      <c r="G59" s="22"/>
      <c r="H59" s="39"/>
      <c r="L59" s="168" t="s">
        <v>83</v>
      </c>
      <c r="M59" s="169">
        <v>45846.0</v>
      </c>
      <c r="N59" s="26">
        <v>5000.0</v>
      </c>
      <c r="O59" s="99"/>
      <c r="R59" s="53"/>
      <c r="S59" s="65"/>
      <c r="T59" s="66"/>
      <c r="U59" s="58"/>
      <c r="V59" s="184"/>
    </row>
    <row r="60" ht="15.75" customHeight="1">
      <c r="B60" s="17" t="s">
        <v>244</v>
      </c>
      <c r="C60" s="18">
        <v>45800.0</v>
      </c>
      <c r="D60" s="179">
        <f t="shared" si="1"/>
        <v>45800</v>
      </c>
      <c r="E60" s="20">
        <v>500.0</v>
      </c>
      <c r="F60" s="21"/>
      <c r="G60" s="22"/>
      <c r="H60" s="39"/>
      <c r="L60" s="190" t="s">
        <v>251</v>
      </c>
      <c r="M60" s="197">
        <v>45848.0</v>
      </c>
      <c r="N60" s="198">
        <v>2000.0</v>
      </c>
      <c r="O60" s="202">
        <f>SUM(N56,N57,N60,N62,N63)</f>
        <v>7350</v>
      </c>
      <c r="R60" s="53"/>
      <c r="S60" s="65"/>
      <c r="T60" s="66"/>
      <c r="U60" s="58"/>
      <c r="V60" s="184"/>
    </row>
    <row r="61" ht="15.75" customHeight="1">
      <c r="B61" s="17" t="s">
        <v>61</v>
      </c>
      <c r="C61" s="18">
        <v>45805.0</v>
      </c>
      <c r="D61" s="179">
        <f t="shared" si="1"/>
        <v>45805</v>
      </c>
      <c r="E61" s="20">
        <v>850.0</v>
      </c>
      <c r="F61" s="21"/>
      <c r="G61" s="22"/>
      <c r="H61" s="39"/>
      <c r="L61" s="168" t="s">
        <v>83</v>
      </c>
      <c r="M61" s="169">
        <v>45849.0</v>
      </c>
      <c r="N61" s="26">
        <v>1000.0</v>
      </c>
      <c r="O61" s="99"/>
      <c r="R61" s="53"/>
      <c r="S61" s="65"/>
      <c r="T61" s="66"/>
      <c r="U61" s="58"/>
      <c r="V61" s="184"/>
    </row>
    <row r="62" ht="15.75" customHeight="1">
      <c r="B62" s="17" t="s">
        <v>26</v>
      </c>
      <c r="C62" s="18">
        <v>45807.0</v>
      </c>
      <c r="D62" s="179">
        <f t="shared" si="1"/>
        <v>45807</v>
      </c>
      <c r="E62" s="20">
        <v>375.0</v>
      </c>
      <c r="F62" s="21"/>
      <c r="G62" s="22"/>
      <c r="H62" s="39"/>
      <c r="L62" s="190" t="s">
        <v>251</v>
      </c>
      <c r="M62" s="197">
        <v>45851.0</v>
      </c>
      <c r="N62" s="198">
        <v>2000.0</v>
      </c>
      <c r="O62" s="99"/>
      <c r="R62" s="53"/>
      <c r="S62" s="65"/>
      <c r="T62" s="66"/>
      <c r="U62" s="58"/>
      <c r="V62" s="184"/>
    </row>
    <row r="63" ht="15.75" customHeight="1">
      <c r="B63" s="17" t="s">
        <v>209</v>
      </c>
      <c r="C63" s="18">
        <v>45807.0</v>
      </c>
      <c r="D63" s="179">
        <f t="shared" si="1"/>
        <v>45807</v>
      </c>
      <c r="E63" s="20">
        <v>500.0</v>
      </c>
      <c r="F63" s="21"/>
      <c r="G63" s="22"/>
      <c r="H63" s="39"/>
      <c r="L63" s="190" t="s">
        <v>252</v>
      </c>
      <c r="M63" s="197">
        <v>45852.0</v>
      </c>
      <c r="N63" s="198">
        <v>1000.0</v>
      </c>
      <c r="O63" s="99"/>
      <c r="R63" s="53"/>
      <c r="S63" s="65"/>
      <c r="T63" s="66"/>
      <c r="U63" s="58"/>
      <c r="V63" s="184"/>
    </row>
    <row r="64" ht="15.75" customHeight="1">
      <c r="B64" s="17" t="s">
        <v>133</v>
      </c>
      <c r="C64" s="18">
        <v>45810.0</v>
      </c>
      <c r="D64" s="179">
        <f t="shared" si="1"/>
        <v>45810</v>
      </c>
      <c r="E64" s="20">
        <v>375.0</v>
      </c>
      <c r="F64" s="21"/>
      <c r="G64" s="22"/>
      <c r="H64" s="39"/>
      <c r="L64" s="168" t="s">
        <v>83</v>
      </c>
      <c r="M64" s="169">
        <v>45856.0</v>
      </c>
      <c r="N64" s="26">
        <v>1000.0</v>
      </c>
      <c r="O64" s="99"/>
      <c r="R64" s="53"/>
      <c r="S64" s="65"/>
      <c r="T64" s="66"/>
      <c r="U64" s="58"/>
      <c r="V64" s="184"/>
    </row>
    <row r="65" ht="15.75" customHeight="1">
      <c r="B65" s="17" t="s">
        <v>32</v>
      </c>
      <c r="C65" s="18">
        <v>45810.0</v>
      </c>
      <c r="D65" s="179">
        <f t="shared" si="1"/>
        <v>45810</v>
      </c>
      <c r="E65" s="20">
        <v>330.0</v>
      </c>
      <c r="F65" s="21"/>
      <c r="G65" s="22"/>
      <c r="H65" s="39"/>
      <c r="L65" s="168" t="s">
        <v>83</v>
      </c>
      <c r="M65" s="169">
        <v>45860.0</v>
      </c>
      <c r="N65" s="26">
        <v>3500.0</v>
      </c>
      <c r="O65" s="99"/>
      <c r="R65" s="53"/>
      <c r="S65" s="65"/>
      <c r="T65" s="66"/>
      <c r="U65" s="58"/>
      <c r="V65" s="184"/>
    </row>
    <row r="66" ht="15.75" customHeight="1">
      <c r="B66" s="17" t="s">
        <v>214</v>
      </c>
      <c r="C66" s="18">
        <v>45811.0</v>
      </c>
      <c r="D66" s="179">
        <f t="shared" si="1"/>
        <v>45811</v>
      </c>
      <c r="E66" s="20">
        <v>500.0</v>
      </c>
      <c r="F66" s="21"/>
      <c r="G66" s="22"/>
      <c r="H66" s="39"/>
      <c r="L66" s="168" t="s">
        <v>253</v>
      </c>
      <c r="M66" s="169">
        <v>45860.0</v>
      </c>
      <c r="N66" s="26">
        <v>200.0</v>
      </c>
      <c r="O66" s="99"/>
      <c r="R66" s="53"/>
      <c r="S66" s="65"/>
      <c r="T66" s="66"/>
      <c r="U66" s="58"/>
      <c r="V66" s="184"/>
    </row>
    <row r="67" ht="15.75" customHeight="1">
      <c r="B67" s="17" t="s">
        <v>26</v>
      </c>
      <c r="C67" s="18">
        <v>45812.0</v>
      </c>
      <c r="D67" s="179">
        <f t="shared" si="1"/>
        <v>45812</v>
      </c>
      <c r="E67" s="20">
        <v>500.0</v>
      </c>
      <c r="F67" s="21"/>
      <c r="G67" s="22"/>
      <c r="H67" s="39"/>
      <c r="L67" s="203" t="s">
        <v>254</v>
      </c>
      <c r="M67" s="204">
        <v>45861.0</v>
      </c>
      <c r="N67" s="205">
        <v>200.0</v>
      </c>
      <c r="O67" s="99"/>
      <c r="R67" s="53"/>
      <c r="S67" s="65"/>
      <c r="T67" s="66"/>
      <c r="U67" s="58"/>
      <c r="V67" s="184"/>
    </row>
    <row r="68" ht="15.75" customHeight="1">
      <c r="B68" s="17" t="s">
        <v>61</v>
      </c>
      <c r="C68" s="18">
        <v>45812.0</v>
      </c>
      <c r="D68" s="179">
        <f t="shared" si="1"/>
        <v>45812</v>
      </c>
      <c r="E68" s="20">
        <v>500.0</v>
      </c>
      <c r="F68" s="21"/>
      <c r="G68" s="22"/>
      <c r="H68" s="39"/>
      <c r="L68" s="168" t="s">
        <v>255</v>
      </c>
      <c r="M68" s="169">
        <v>45865.0</v>
      </c>
      <c r="N68" s="26">
        <v>500.0</v>
      </c>
      <c r="O68" s="99"/>
      <c r="R68" s="53"/>
      <c r="S68" s="65"/>
      <c r="T68" s="66"/>
      <c r="U68" s="58"/>
      <c r="V68" s="184"/>
    </row>
    <row r="69" ht="15.75" customHeight="1">
      <c r="B69" s="17" t="s">
        <v>209</v>
      </c>
      <c r="C69" s="18">
        <v>45814.0</v>
      </c>
      <c r="D69" s="179">
        <f t="shared" si="1"/>
        <v>45814</v>
      </c>
      <c r="E69" s="20">
        <v>500.0</v>
      </c>
      <c r="F69" s="21"/>
      <c r="G69" s="22"/>
      <c r="H69" s="39"/>
      <c r="L69" s="87"/>
      <c r="M69" s="169"/>
      <c r="N69" s="26"/>
      <c r="O69" s="99"/>
      <c r="R69" s="53"/>
      <c r="S69" s="65"/>
      <c r="T69" s="66"/>
      <c r="U69" s="58"/>
      <c r="V69" s="184"/>
    </row>
    <row r="70" ht="15.75" customHeight="1">
      <c r="B70" s="17" t="s">
        <v>246</v>
      </c>
      <c r="C70" s="18">
        <v>45817.0</v>
      </c>
      <c r="D70" s="179">
        <f t="shared" si="1"/>
        <v>45817</v>
      </c>
      <c r="E70" s="20">
        <v>375.0</v>
      </c>
      <c r="F70" s="21"/>
      <c r="G70" s="22"/>
      <c r="H70" s="39"/>
      <c r="L70" s="87" t="s">
        <v>254</v>
      </c>
      <c r="M70" s="169">
        <v>45869.0</v>
      </c>
      <c r="N70" s="26">
        <v>300.0</v>
      </c>
      <c r="O70" s="99"/>
      <c r="R70" s="53"/>
      <c r="S70" s="65"/>
      <c r="T70" s="66"/>
      <c r="U70" s="58"/>
      <c r="V70" s="184"/>
    </row>
    <row r="71" ht="15.75" customHeight="1">
      <c r="B71" s="17" t="s">
        <v>61</v>
      </c>
      <c r="C71" s="18">
        <v>45817.0</v>
      </c>
      <c r="D71" s="179">
        <f t="shared" si="1"/>
        <v>45817</v>
      </c>
      <c r="E71" s="20">
        <v>500.0</v>
      </c>
      <c r="F71" s="21"/>
      <c r="G71" s="22"/>
      <c r="H71" s="39"/>
      <c r="L71" s="87" t="s">
        <v>254</v>
      </c>
      <c r="M71" s="169">
        <v>45871.0</v>
      </c>
      <c r="N71" s="26">
        <v>500.0</v>
      </c>
      <c r="O71" s="99"/>
      <c r="R71" s="53"/>
      <c r="S71" s="65"/>
      <c r="T71" s="66"/>
      <c r="U71" s="58"/>
      <c r="V71" s="184"/>
    </row>
    <row r="72" ht="15.75" customHeight="1">
      <c r="B72" s="17" t="s">
        <v>214</v>
      </c>
      <c r="C72" s="18">
        <v>45818.0</v>
      </c>
      <c r="D72" s="179">
        <f t="shared" si="1"/>
        <v>45818</v>
      </c>
      <c r="E72" s="20">
        <v>500.0</v>
      </c>
      <c r="F72" s="21"/>
      <c r="G72" s="22"/>
      <c r="H72" s="39"/>
      <c r="L72" s="87" t="s">
        <v>254</v>
      </c>
      <c r="M72" s="169">
        <v>45874.0</v>
      </c>
      <c r="N72" s="26">
        <v>500.0</v>
      </c>
      <c r="O72" s="99"/>
      <c r="R72" s="53"/>
      <c r="S72" s="65"/>
      <c r="T72" s="66"/>
      <c r="U72" s="58"/>
      <c r="V72" s="184"/>
    </row>
    <row r="73" ht="15.75" customHeight="1">
      <c r="B73" s="17" t="s">
        <v>26</v>
      </c>
      <c r="C73" s="18">
        <v>45819.0</v>
      </c>
      <c r="D73" s="179">
        <f t="shared" si="1"/>
        <v>45819</v>
      </c>
      <c r="E73" s="20">
        <v>500.0</v>
      </c>
      <c r="F73" s="21"/>
      <c r="G73" s="22"/>
      <c r="H73" s="39"/>
      <c r="L73" s="87" t="s">
        <v>254</v>
      </c>
      <c r="M73" s="169">
        <v>45875.0</v>
      </c>
      <c r="N73" s="26">
        <v>200.0</v>
      </c>
      <c r="O73" s="99"/>
      <c r="R73" s="53"/>
      <c r="S73" s="65"/>
      <c r="T73" s="66"/>
      <c r="U73" s="58"/>
      <c r="V73" s="184"/>
    </row>
    <row r="74" ht="15.75" customHeight="1">
      <c r="B74" s="17" t="s">
        <v>61</v>
      </c>
      <c r="C74" s="18">
        <v>45819.0</v>
      </c>
      <c r="D74" s="179">
        <f t="shared" si="1"/>
        <v>45819</v>
      </c>
      <c r="E74" s="20">
        <v>500.0</v>
      </c>
      <c r="F74" s="21"/>
      <c r="G74" s="22"/>
      <c r="H74" s="39"/>
      <c r="L74" s="87" t="s">
        <v>254</v>
      </c>
      <c r="M74" s="169">
        <v>45879.0</v>
      </c>
      <c r="N74" s="26">
        <v>500.0</v>
      </c>
      <c r="O74" s="99"/>
      <c r="R74" s="53"/>
      <c r="S74" s="65"/>
      <c r="T74" s="66"/>
      <c r="U74" s="58"/>
      <c r="V74" s="184"/>
    </row>
    <row r="75" ht="15.75" customHeight="1">
      <c r="B75" s="17" t="s">
        <v>256</v>
      </c>
      <c r="C75" s="18">
        <v>45820.0</v>
      </c>
      <c r="D75" s="179">
        <f t="shared" si="1"/>
        <v>45820</v>
      </c>
      <c r="E75" s="20">
        <v>300.0</v>
      </c>
      <c r="F75" s="21"/>
      <c r="G75" s="22"/>
      <c r="H75" s="39"/>
      <c r="L75" s="87" t="s">
        <v>254</v>
      </c>
      <c r="M75" s="169">
        <v>45879.0</v>
      </c>
      <c r="N75" s="26">
        <v>300.0</v>
      </c>
      <c r="O75" s="99"/>
      <c r="R75" s="53"/>
      <c r="S75" s="65"/>
      <c r="T75" s="66"/>
      <c r="U75" s="58"/>
      <c r="V75" s="184"/>
    </row>
    <row r="76" ht="15.75" customHeight="1">
      <c r="B76" s="17" t="s">
        <v>257</v>
      </c>
      <c r="C76" s="18">
        <v>45821.0</v>
      </c>
      <c r="D76" s="179">
        <f t="shared" si="1"/>
        <v>45821</v>
      </c>
      <c r="E76" s="20">
        <v>791.0</v>
      </c>
      <c r="F76" s="21"/>
      <c r="G76" s="22"/>
      <c r="H76" s="39"/>
      <c r="L76" s="87" t="s">
        <v>258</v>
      </c>
      <c r="M76" s="169">
        <v>45880.0</v>
      </c>
      <c r="N76" s="26">
        <v>2150.0</v>
      </c>
      <c r="O76" s="99"/>
      <c r="R76" s="53"/>
      <c r="S76" s="65"/>
      <c r="T76" s="66"/>
      <c r="U76" s="58"/>
      <c r="V76" s="184"/>
    </row>
    <row r="77" ht="15.75" customHeight="1">
      <c r="B77" s="17" t="s">
        <v>209</v>
      </c>
      <c r="C77" s="18">
        <v>45821.0</v>
      </c>
      <c r="D77" s="179">
        <f t="shared" si="1"/>
        <v>45821</v>
      </c>
      <c r="E77" s="20">
        <v>500.0</v>
      </c>
      <c r="F77" s="21"/>
      <c r="G77" s="22"/>
      <c r="H77" s="39"/>
      <c r="L77" s="168" t="s">
        <v>259</v>
      </c>
      <c r="M77" s="169">
        <v>45881.0</v>
      </c>
      <c r="N77" s="26">
        <v>80.0</v>
      </c>
      <c r="O77" s="99"/>
      <c r="R77" s="53"/>
      <c r="S77" s="65"/>
      <c r="T77" s="66"/>
      <c r="U77" s="58"/>
      <c r="V77" s="184"/>
    </row>
    <row r="78" ht="15.75" customHeight="1">
      <c r="B78" s="17" t="s">
        <v>246</v>
      </c>
      <c r="C78" s="18">
        <v>45824.0</v>
      </c>
      <c r="D78" s="179">
        <f t="shared" si="1"/>
        <v>45824</v>
      </c>
      <c r="E78" s="20">
        <v>380.0</v>
      </c>
      <c r="F78" s="21"/>
      <c r="G78" s="22"/>
      <c r="H78" s="39"/>
      <c r="L78" s="168" t="s">
        <v>83</v>
      </c>
      <c r="M78" s="169">
        <v>45881.0</v>
      </c>
      <c r="N78" s="26">
        <v>1300.0</v>
      </c>
      <c r="O78" s="99"/>
      <c r="R78" s="53"/>
      <c r="S78" s="65"/>
      <c r="T78" s="66"/>
      <c r="U78" s="58"/>
      <c r="V78" s="184"/>
    </row>
    <row r="79" ht="15.75" customHeight="1">
      <c r="B79" s="17" t="s">
        <v>214</v>
      </c>
      <c r="C79" s="18">
        <v>45825.0</v>
      </c>
      <c r="D79" s="179">
        <f t="shared" si="1"/>
        <v>45825</v>
      </c>
      <c r="E79" s="20">
        <v>500.0</v>
      </c>
      <c r="F79" s="21"/>
      <c r="G79" s="22"/>
      <c r="H79" s="39"/>
      <c r="L79" s="87" t="s">
        <v>252</v>
      </c>
      <c r="M79" s="169">
        <v>45889.0</v>
      </c>
      <c r="N79" s="26">
        <v>250.0</v>
      </c>
      <c r="O79" s="99"/>
      <c r="R79" s="53"/>
      <c r="S79" s="65"/>
      <c r="T79" s="66"/>
      <c r="U79" s="58"/>
      <c r="V79" s="184"/>
    </row>
    <row r="80" ht="15.75" customHeight="1">
      <c r="B80" s="17" t="s">
        <v>26</v>
      </c>
      <c r="C80" s="18">
        <v>45826.0</v>
      </c>
      <c r="D80" s="179">
        <f t="shared" si="1"/>
        <v>45826</v>
      </c>
      <c r="E80" s="20">
        <v>500.0</v>
      </c>
      <c r="F80" s="21"/>
      <c r="G80" s="22"/>
      <c r="H80" s="39"/>
      <c r="L80" s="87" t="s">
        <v>260</v>
      </c>
      <c r="M80" s="169">
        <v>45892.0</v>
      </c>
      <c r="N80" s="26">
        <v>672.0</v>
      </c>
      <c r="O80" s="99"/>
      <c r="R80" s="53"/>
      <c r="S80" s="65"/>
      <c r="T80" s="66"/>
      <c r="U80" s="58"/>
      <c r="V80" s="184"/>
    </row>
    <row r="81" ht="15.75" customHeight="1">
      <c r="B81" s="17" t="s">
        <v>36</v>
      </c>
      <c r="C81" s="18">
        <v>45827.0</v>
      </c>
      <c r="D81" s="179">
        <f t="shared" si="1"/>
        <v>45827</v>
      </c>
      <c r="E81" s="20">
        <v>3500.0</v>
      </c>
      <c r="F81" s="21"/>
      <c r="G81" s="22"/>
      <c r="H81" s="39"/>
      <c r="L81" s="87"/>
      <c r="M81" s="169"/>
      <c r="N81" s="26"/>
      <c r="O81" s="99"/>
      <c r="R81" s="53"/>
      <c r="S81" s="65"/>
      <c r="T81" s="66"/>
      <c r="U81" s="58"/>
      <c r="V81" s="184"/>
    </row>
    <row r="82" ht="15.75" customHeight="1">
      <c r="B82" s="17" t="s">
        <v>61</v>
      </c>
      <c r="C82" s="18">
        <v>45828.0</v>
      </c>
      <c r="D82" s="179">
        <f t="shared" si="1"/>
        <v>45828</v>
      </c>
      <c r="E82" s="20">
        <v>370.0</v>
      </c>
      <c r="F82" s="21"/>
      <c r="G82" s="22"/>
      <c r="H82" s="39"/>
      <c r="L82" s="87"/>
      <c r="M82" s="169"/>
      <c r="N82" s="26"/>
      <c r="O82" s="99"/>
      <c r="R82" s="53"/>
      <c r="S82" s="65"/>
      <c r="T82" s="66"/>
      <c r="U82" s="58"/>
      <c r="V82" s="184"/>
    </row>
    <row r="83" ht="15.75" customHeight="1">
      <c r="B83" s="17" t="s">
        <v>137</v>
      </c>
      <c r="C83" s="18">
        <v>45828.0</v>
      </c>
      <c r="D83" s="179">
        <f t="shared" si="1"/>
        <v>45828</v>
      </c>
      <c r="E83" s="20">
        <v>500.0</v>
      </c>
      <c r="F83" s="21"/>
      <c r="G83" s="22"/>
      <c r="H83" s="39"/>
      <c r="L83" s="87"/>
      <c r="M83" s="169"/>
      <c r="N83" s="26"/>
      <c r="O83" s="99"/>
      <c r="R83" s="53"/>
      <c r="S83" s="65"/>
      <c r="T83" s="66"/>
      <c r="U83" s="58"/>
      <c r="V83" s="184"/>
    </row>
    <row r="84" ht="15.75" customHeight="1">
      <c r="B84" s="17" t="s">
        <v>61</v>
      </c>
      <c r="C84" s="18">
        <v>45831.0</v>
      </c>
      <c r="D84" s="179">
        <f t="shared" si="1"/>
        <v>45831</v>
      </c>
      <c r="E84" s="20">
        <v>500.0</v>
      </c>
      <c r="F84" s="21"/>
      <c r="G84" s="22"/>
      <c r="H84" s="39"/>
      <c r="L84" s="87"/>
      <c r="M84" s="169"/>
      <c r="N84" s="26"/>
      <c r="O84" s="99"/>
      <c r="R84" s="53"/>
      <c r="S84" s="65"/>
      <c r="T84" s="66"/>
      <c r="U84" s="58"/>
      <c r="V84" s="184"/>
    </row>
    <row r="85" ht="15.75" customHeight="1">
      <c r="B85" s="17" t="s">
        <v>214</v>
      </c>
      <c r="C85" s="18">
        <v>45832.0</v>
      </c>
      <c r="D85" s="179">
        <f t="shared" si="1"/>
        <v>45832</v>
      </c>
      <c r="E85" s="20">
        <v>500.0</v>
      </c>
      <c r="F85" s="21"/>
      <c r="G85" s="22"/>
      <c r="H85" s="39"/>
      <c r="L85" s="87"/>
      <c r="M85" s="169"/>
      <c r="N85" s="26"/>
      <c r="O85" s="99"/>
      <c r="R85" s="53"/>
      <c r="S85" s="65"/>
      <c r="T85" s="66"/>
      <c r="U85" s="58"/>
      <c r="V85" s="184"/>
    </row>
    <row r="86" ht="15.75" customHeight="1">
      <c r="B86" s="17" t="s">
        <v>32</v>
      </c>
      <c r="C86" s="18">
        <v>45838.0</v>
      </c>
      <c r="D86" s="179">
        <f t="shared" si="1"/>
        <v>45838</v>
      </c>
      <c r="E86" s="20">
        <v>260.0</v>
      </c>
      <c r="F86" s="21"/>
      <c r="G86" s="22"/>
      <c r="H86" s="39"/>
      <c r="L86" s="87"/>
      <c r="M86" s="169"/>
      <c r="N86" s="26"/>
      <c r="O86" s="99"/>
      <c r="R86" s="53"/>
      <c r="S86" s="65"/>
      <c r="T86" s="66"/>
      <c r="U86" s="58"/>
      <c r="V86" s="184"/>
    </row>
    <row r="87" ht="15.75" customHeight="1">
      <c r="B87" s="17" t="s">
        <v>26</v>
      </c>
      <c r="C87" s="18">
        <v>45833.0</v>
      </c>
      <c r="D87" s="179">
        <f t="shared" si="1"/>
        <v>45833</v>
      </c>
      <c r="E87" s="20">
        <v>500.0</v>
      </c>
      <c r="F87" s="21"/>
      <c r="G87" s="22"/>
      <c r="H87" s="39"/>
      <c r="L87" s="87"/>
      <c r="M87" s="169"/>
      <c r="N87" s="26"/>
      <c r="O87" s="99"/>
      <c r="R87" s="53"/>
      <c r="S87" s="65"/>
      <c r="T87" s="66"/>
      <c r="U87" s="58"/>
      <c r="V87" s="184"/>
    </row>
    <row r="88" ht="15.75" customHeight="1">
      <c r="B88" s="17" t="s">
        <v>61</v>
      </c>
      <c r="C88" s="18">
        <v>45833.0</v>
      </c>
      <c r="D88" s="179">
        <f t="shared" si="1"/>
        <v>45833</v>
      </c>
      <c r="E88" s="20">
        <v>500.0</v>
      </c>
      <c r="F88" s="21"/>
      <c r="G88" s="22"/>
      <c r="H88" s="39"/>
      <c r="L88" s="87"/>
      <c r="M88" s="169"/>
      <c r="N88" s="26"/>
      <c r="O88" s="99"/>
      <c r="R88" s="53"/>
      <c r="S88" s="65"/>
      <c r="T88" s="66"/>
      <c r="U88" s="58"/>
      <c r="V88" s="184"/>
    </row>
    <row r="89" ht="15.75" customHeight="1">
      <c r="B89" s="17" t="s">
        <v>214</v>
      </c>
      <c r="C89" s="18">
        <v>45839.0</v>
      </c>
      <c r="D89" s="179">
        <f t="shared" si="1"/>
        <v>45839</v>
      </c>
      <c r="E89" s="20">
        <v>500.0</v>
      </c>
      <c r="F89" s="21"/>
      <c r="G89" s="22"/>
      <c r="H89" s="39"/>
      <c r="L89" s="87"/>
      <c r="M89" s="169"/>
      <c r="N89" s="26"/>
      <c r="O89" s="99"/>
      <c r="R89" s="53"/>
      <c r="S89" s="65"/>
      <c r="T89" s="66"/>
      <c r="U89" s="58"/>
      <c r="V89" s="184"/>
    </row>
    <row r="90" ht="15.75" customHeight="1">
      <c r="B90" s="17" t="s">
        <v>26</v>
      </c>
      <c r="C90" s="18">
        <v>45840.0</v>
      </c>
      <c r="D90" s="179">
        <f t="shared" si="1"/>
        <v>45840</v>
      </c>
      <c r="E90" s="20">
        <v>500.0</v>
      </c>
      <c r="F90" s="21"/>
      <c r="G90" s="22"/>
      <c r="H90" s="39"/>
      <c r="L90" s="87"/>
      <c r="M90" s="169"/>
      <c r="N90" s="26"/>
      <c r="O90" s="99"/>
      <c r="R90" s="53"/>
      <c r="S90" s="65"/>
      <c r="T90" s="66"/>
      <c r="U90" s="58"/>
      <c r="V90" s="184"/>
    </row>
    <row r="91" ht="15.75" customHeight="1">
      <c r="B91" s="17" t="s">
        <v>61</v>
      </c>
      <c r="C91" s="18">
        <v>45840.0</v>
      </c>
      <c r="D91" s="179">
        <f t="shared" si="1"/>
        <v>45840</v>
      </c>
      <c r="E91" s="20">
        <v>500.0</v>
      </c>
      <c r="F91" s="21"/>
      <c r="G91" s="22"/>
      <c r="H91" s="39"/>
      <c r="L91" s="87"/>
      <c r="M91" s="169"/>
      <c r="N91" s="26"/>
      <c r="O91" s="99"/>
      <c r="R91" s="53"/>
      <c r="S91" s="65"/>
      <c r="T91" s="66"/>
      <c r="U91" s="58"/>
      <c r="V91" s="184"/>
    </row>
    <row r="92" ht="15.75" customHeight="1">
      <c r="B92" s="17" t="s">
        <v>32</v>
      </c>
      <c r="C92" s="18">
        <v>45841.0</v>
      </c>
      <c r="D92" s="179">
        <f t="shared" si="1"/>
        <v>45841</v>
      </c>
      <c r="E92" s="20">
        <v>365.0</v>
      </c>
      <c r="F92" s="21"/>
      <c r="G92" s="22"/>
      <c r="H92" s="39"/>
      <c r="L92" s="87"/>
      <c r="M92" s="169"/>
      <c r="N92" s="26"/>
      <c r="O92" s="99"/>
      <c r="R92" s="53"/>
      <c r="S92" s="65"/>
      <c r="T92" s="66"/>
      <c r="U92" s="58"/>
      <c r="V92" s="184"/>
    </row>
    <row r="93" ht="15.75" customHeight="1">
      <c r="B93" s="17" t="s">
        <v>261</v>
      </c>
      <c r="C93" s="18">
        <v>45842.0</v>
      </c>
      <c r="D93" s="179">
        <f t="shared" si="1"/>
        <v>45842</v>
      </c>
      <c r="E93" s="20">
        <v>500.0</v>
      </c>
      <c r="F93" s="21"/>
      <c r="G93" s="22"/>
      <c r="H93" s="39"/>
      <c r="L93" s="87"/>
      <c r="M93" s="169"/>
      <c r="N93" s="26"/>
      <c r="O93" s="99"/>
      <c r="R93" s="53"/>
      <c r="S93" s="65"/>
      <c r="T93" s="66"/>
      <c r="U93" s="58"/>
      <c r="V93" s="184"/>
    </row>
    <row r="94" ht="15.75" customHeight="1">
      <c r="B94" s="17" t="s">
        <v>246</v>
      </c>
      <c r="C94" s="18">
        <v>45845.0</v>
      </c>
      <c r="D94" s="179">
        <f t="shared" si="1"/>
        <v>45845</v>
      </c>
      <c r="E94" s="20">
        <v>375.0</v>
      </c>
      <c r="F94" s="21"/>
      <c r="G94" s="22"/>
      <c r="H94" s="39"/>
      <c r="L94" s="87"/>
      <c r="M94" s="169"/>
      <c r="N94" s="26"/>
      <c r="O94" s="99"/>
      <c r="R94" s="53"/>
      <c r="S94" s="65"/>
      <c r="T94" s="66"/>
      <c r="U94" s="58"/>
      <c r="V94" s="184"/>
    </row>
    <row r="95" ht="15.75" customHeight="1">
      <c r="B95" s="17" t="s">
        <v>61</v>
      </c>
      <c r="C95" s="18">
        <v>45845.0</v>
      </c>
      <c r="D95" s="179">
        <f t="shared" si="1"/>
        <v>45845</v>
      </c>
      <c r="E95" s="20">
        <v>370.0</v>
      </c>
      <c r="F95" s="21"/>
      <c r="G95" s="22"/>
      <c r="H95" s="39"/>
      <c r="L95" s="87"/>
      <c r="M95" s="169"/>
      <c r="N95" s="26"/>
      <c r="O95" s="99"/>
      <c r="R95" s="53"/>
      <c r="S95" s="65"/>
      <c r="T95" s="66"/>
      <c r="U95" s="58"/>
      <c r="V95" s="184"/>
    </row>
    <row r="96" ht="15.75" customHeight="1">
      <c r="B96" s="17" t="s">
        <v>176</v>
      </c>
      <c r="C96" s="18">
        <v>45846.0</v>
      </c>
      <c r="D96" s="179">
        <f t="shared" si="1"/>
        <v>45846</v>
      </c>
      <c r="E96" s="20">
        <v>250.0</v>
      </c>
      <c r="F96" s="21"/>
      <c r="G96" s="22"/>
      <c r="H96" s="39"/>
      <c r="L96" s="87"/>
      <c r="M96" s="169"/>
      <c r="N96" s="26"/>
      <c r="O96" s="99"/>
      <c r="R96" s="53"/>
      <c r="S96" s="65"/>
      <c r="T96" s="66"/>
      <c r="U96" s="58"/>
      <c r="V96" s="184"/>
    </row>
    <row r="97" ht="15.75" customHeight="1">
      <c r="B97" s="17" t="s">
        <v>214</v>
      </c>
      <c r="C97" s="18">
        <v>45846.0</v>
      </c>
      <c r="D97" s="179">
        <f t="shared" si="1"/>
        <v>45846</v>
      </c>
      <c r="E97" s="20">
        <v>500.0</v>
      </c>
      <c r="F97" s="21"/>
      <c r="G97" s="22"/>
      <c r="H97" s="39"/>
      <c r="L97" s="87"/>
      <c r="M97" s="169"/>
      <c r="N97" s="26"/>
      <c r="O97" s="99"/>
      <c r="R97" s="53"/>
      <c r="S97" s="65"/>
      <c r="T97" s="66"/>
      <c r="U97" s="58"/>
      <c r="V97" s="184"/>
    </row>
    <row r="98" ht="15.75" customHeight="1">
      <c r="B98" s="17" t="s">
        <v>26</v>
      </c>
      <c r="C98" s="18">
        <v>45847.0</v>
      </c>
      <c r="D98" s="179">
        <f t="shared" si="1"/>
        <v>45847</v>
      </c>
      <c r="E98" s="20">
        <v>500.0</v>
      </c>
      <c r="F98" s="21"/>
      <c r="G98" s="22"/>
      <c r="H98" s="39"/>
      <c r="L98" s="87"/>
      <c r="M98" s="169"/>
      <c r="N98" s="26"/>
      <c r="O98" s="99"/>
      <c r="R98" s="53"/>
      <c r="S98" s="65"/>
      <c r="T98" s="66"/>
      <c r="U98" s="58"/>
      <c r="V98" s="184"/>
    </row>
    <row r="99" ht="15.75" customHeight="1">
      <c r="B99" s="17" t="s">
        <v>61</v>
      </c>
      <c r="C99" s="18">
        <v>45847.0</v>
      </c>
      <c r="D99" s="179">
        <f t="shared" si="1"/>
        <v>45847</v>
      </c>
      <c r="E99" s="20">
        <v>370.0</v>
      </c>
      <c r="F99" s="21"/>
      <c r="G99" s="22"/>
      <c r="H99" s="39"/>
      <c r="L99" s="87"/>
      <c r="M99" s="169"/>
      <c r="N99" s="26"/>
      <c r="O99" s="99"/>
      <c r="R99" s="53"/>
      <c r="S99" s="65"/>
      <c r="T99" s="66"/>
      <c r="U99" s="58"/>
      <c r="V99" s="184"/>
    </row>
    <row r="100" ht="15.75" customHeight="1">
      <c r="B100" s="17" t="s">
        <v>262</v>
      </c>
      <c r="C100" s="18">
        <v>45848.0</v>
      </c>
      <c r="D100" s="179">
        <f t="shared" si="1"/>
        <v>45848</v>
      </c>
      <c r="E100" s="20">
        <v>500.0</v>
      </c>
      <c r="F100" s="21"/>
      <c r="G100" s="22"/>
      <c r="H100" s="39"/>
      <c r="L100" s="87"/>
      <c r="M100" s="169"/>
      <c r="N100" s="26"/>
      <c r="O100" s="99"/>
      <c r="R100" s="53"/>
      <c r="S100" s="65"/>
      <c r="T100" s="66"/>
      <c r="U100" s="58"/>
      <c r="V100" s="184"/>
    </row>
    <row r="101" ht="15.75" customHeight="1">
      <c r="B101" s="17" t="s">
        <v>61</v>
      </c>
      <c r="C101" s="18">
        <v>45849.0</v>
      </c>
      <c r="D101" s="179">
        <f t="shared" si="1"/>
        <v>45849</v>
      </c>
      <c r="E101" s="20">
        <v>500.0</v>
      </c>
      <c r="F101" s="21"/>
      <c r="G101" s="22"/>
      <c r="H101" s="39"/>
      <c r="L101" s="87"/>
      <c r="M101" s="169"/>
      <c r="N101" s="26"/>
      <c r="O101" s="99"/>
      <c r="R101" s="53"/>
      <c r="S101" s="65"/>
      <c r="T101" s="66"/>
      <c r="U101" s="58"/>
      <c r="V101" s="184"/>
    </row>
    <row r="102" ht="15.75" customHeight="1">
      <c r="B102" s="17" t="s">
        <v>32</v>
      </c>
      <c r="C102" s="18">
        <v>45852.0</v>
      </c>
      <c r="D102" s="179">
        <f t="shared" si="1"/>
        <v>45852</v>
      </c>
      <c r="E102" s="20">
        <v>500.0</v>
      </c>
      <c r="F102" s="21"/>
      <c r="G102" s="22"/>
      <c r="H102" s="39"/>
      <c r="L102" s="87"/>
      <c r="M102" s="169"/>
      <c r="N102" s="26"/>
      <c r="O102" s="99"/>
      <c r="R102" s="53"/>
      <c r="S102" s="65"/>
      <c r="T102" s="66"/>
      <c r="U102" s="58"/>
      <c r="V102" s="184"/>
    </row>
    <row r="103" ht="15.75" customHeight="1">
      <c r="B103" s="17" t="s">
        <v>214</v>
      </c>
      <c r="C103" s="18">
        <v>45853.0</v>
      </c>
      <c r="D103" s="179">
        <f t="shared" si="1"/>
        <v>45853</v>
      </c>
      <c r="E103" s="20">
        <v>500.0</v>
      </c>
      <c r="F103" s="21"/>
      <c r="G103" s="22"/>
      <c r="H103" s="39"/>
      <c r="L103" s="87"/>
      <c r="M103" s="169"/>
      <c r="N103" s="26"/>
      <c r="O103" s="99"/>
      <c r="R103" s="53"/>
      <c r="S103" s="65"/>
      <c r="T103" s="66"/>
      <c r="U103" s="58"/>
      <c r="V103" s="184"/>
    </row>
    <row r="104" ht="15.75" customHeight="1">
      <c r="B104" s="17" t="s">
        <v>26</v>
      </c>
      <c r="C104" s="18">
        <v>45854.0</v>
      </c>
      <c r="D104" s="179">
        <f t="shared" si="1"/>
        <v>45854</v>
      </c>
      <c r="E104" s="20">
        <v>500.0</v>
      </c>
      <c r="F104" s="21"/>
      <c r="G104" s="22"/>
      <c r="H104" s="39"/>
      <c r="L104" s="87"/>
      <c r="M104" s="169"/>
      <c r="N104" s="26"/>
      <c r="O104" s="99"/>
      <c r="R104" s="53"/>
      <c r="S104" s="65"/>
      <c r="T104" s="66"/>
      <c r="U104" s="58"/>
      <c r="V104" s="184"/>
    </row>
    <row r="105" ht="15.75" customHeight="1">
      <c r="B105" s="17" t="s">
        <v>61</v>
      </c>
      <c r="C105" s="18">
        <v>45854.0</v>
      </c>
      <c r="D105" s="179">
        <f t="shared" si="1"/>
        <v>45854</v>
      </c>
      <c r="E105" s="20">
        <v>500.0</v>
      </c>
      <c r="F105" s="21"/>
      <c r="G105" s="22"/>
      <c r="H105" s="39"/>
      <c r="L105" s="87"/>
      <c r="M105" s="169"/>
      <c r="N105" s="26"/>
      <c r="O105" s="99"/>
      <c r="R105" s="53"/>
      <c r="S105" s="65"/>
      <c r="T105" s="66"/>
      <c r="U105" s="58"/>
      <c r="V105" s="184"/>
    </row>
    <row r="106" ht="15.75" customHeight="1">
      <c r="B106" s="17" t="s">
        <v>176</v>
      </c>
      <c r="C106" s="18">
        <v>45855.0</v>
      </c>
      <c r="D106" s="179">
        <f t="shared" si="1"/>
        <v>45855</v>
      </c>
      <c r="E106" s="20">
        <v>260.0</v>
      </c>
      <c r="F106" s="21"/>
      <c r="G106" s="22"/>
      <c r="H106" s="39"/>
      <c r="L106" s="87"/>
      <c r="M106" s="169"/>
      <c r="N106" s="26"/>
      <c r="O106" s="99"/>
      <c r="R106" s="53"/>
      <c r="S106" s="65"/>
      <c r="T106" s="66"/>
      <c r="U106" s="58"/>
      <c r="V106" s="184"/>
    </row>
    <row r="107" ht="15.75" customHeight="1">
      <c r="B107" s="17" t="s">
        <v>263</v>
      </c>
      <c r="C107" s="18">
        <v>45855.0</v>
      </c>
      <c r="D107" s="179">
        <f t="shared" si="1"/>
        <v>45855</v>
      </c>
      <c r="E107" s="20">
        <v>500.0</v>
      </c>
      <c r="F107" s="21"/>
      <c r="G107" s="22"/>
      <c r="H107" s="39"/>
      <c r="L107" s="87"/>
      <c r="M107" s="169"/>
      <c r="N107" s="26"/>
      <c r="O107" s="99"/>
      <c r="R107" s="53"/>
      <c r="S107" s="65"/>
      <c r="T107" s="66"/>
      <c r="U107" s="58"/>
      <c r="V107" s="184"/>
    </row>
    <row r="108" ht="15.75" customHeight="1">
      <c r="B108" s="17" t="s">
        <v>61</v>
      </c>
      <c r="C108" s="18">
        <v>45856.0</v>
      </c>
      <c r="D108" s="179">
        <f t="shared" si="1"/>
        <v>45856</v>
      </c>
      <c r="E108" s="20">
        <v>500.0</v>
      </c>
      <c r="F108" s="21"/>
      <c r="G108" s="22"/>
      <c r="H108" s="39"/>
      <c r="L108" s="87"/>
      <c r="M108" s="169"/>
      <c r="N108" s="26"/>
      <c r="O108" s="99"/>
      <c r="R108" s="53"/>
      <c r="S108" s="65"/>
      <c r="T108" s="66"/>
      <c r="U108" s="58"/>
      <c r="V108" s="184"/>
    </row>
    <row r="109" ht="15.75" customHeight="1">
      <c r="B109" s="17" t="s">
        <v>176</v>
      </c>
      <c r="C109" s="18">
        <v>45860.0</v>
      </c>
      <c r="D109" s="179">
        <f t="shared" si="1"/>
        <v>45860</v>
      </c>
      <c r="E109" s="20">
        <v>375.0</v>
      </c>
      <c r="F109" s="21"/>
      <c r="G109" s="22"/>
      <c r="H109" s="39"/>
      <c r="L109" s="87"/>
      <c r="M109" s="169"/>
      <c r="N109" s="26"/>
      <c r="O109" s="99"/>
      <c r="R109" s="53"/>
      <c r="S109" s="65"/>
      <c r="T109" s="66"/>
      <c r="U109" s="58"/>
      <c r="V109" s="184"/>
    </row>
    <row r="110" ht="15.75" customHeight="1">
      <c r="B110" s="17" t="s">
        <v>26</v>
      </c>
      <c r="C110" s="18">
        <v>45861.0</v>
      </c>
      <c r="D110" s="179">
        <f t="shared" si="1"/>
        <v>45861</v>
      </c>
      <c r="E110" s="20">
        <v>500.0</v>
      </c>
      <c r="F110" s="21"/>
      <c r="G110" s="22"/>
      <c r="H110" s="39"/>
      <c r="L110" s="87"/>
      <c r="M110" s="169"/>
      <c r="N110" s="26"/>
      <c r="O110" s="99"/>
      <c r="R110" s="53"/>
      <c r="S110" s="65"/>
      <c r="T110" s="66"/>
      <c r="U110" s="58"/>
      <c r="V110" s="184"/>
    </row>
    <row r="111" ht="15.75" customHeight="1">
      <c r="B111" s="17" t="s">
        <v>61</v>
      </c>
      <c r="C111" s="18">
        <v>45861.0</v>
      </c>
      <c r="D111" s="179">
        <f t="shared" si="1"/>
        <v>45861</v>
      </c>
      <c r="E111" s="20">
        <v>400.0</v>
      </c>
      <c r="F111" s="21"/>
      <c r="G111" s="22"/>
      <c r="H111" s="39"/>
      <c r="L111" s="87"/>
      <c r="M111" s="169"/>
      <c r="N111" s="26"/>
      <c r="O111" s="99"/>
      <c r="R111" s="53"/>
      <c r="S111" s="65"/>
      <c r="T111" s="66"/>
      <c r="U111" s="58"/>
      <c r="V111" s="184"/>
    </row>
    <row r="112" ht="15.75" customHeight="1">
      <c r="B112" s="17" t="s">
        <v>209</v>
      </c>
      <c r="C112" s="18">
        <v>45863.0</v>
      </c>
      <c r="D112" s="179">
        <f t="shared" si="1"/>
        <v>45863</v>
      </c>
      <c r="E112" s="20">
        <v>500.0</v>
      </c>
      <c r="F112" s="21"/>
      <c r="G112" s="22"/>
      <c r="H112" s="39"/>
      <c r="L112" s="87"/>
      <c r="M112" s="169"/>
      <c r="N112" s="26"/>
      <c r="O112" s="99"/>
      <c r="R112" s="53"/>
      <c r="S112" s="65"/>
      <c r="T112" s="66"/>
      <c r="U112" s="58"/>
      <c r="V112" s="184"/>
    </row>
    <row r="113" ht="15.75" customHeight="1">
      <c r="B113" s="17" t="s">
        <v>61</v>
      </c>
      <c r="C113" s="18">
        <v>45868.0</v>
      </c>
      <c r="D113" s="179">
        <f t="shared" si="1"/>
        <v>45868</v>
      </c>
      <c r="E113" s="20">
        <v>425.0</v>
      </c>
      <c r="F113" s="21"/>
      <c r="G113" s="22"/>
      <c r="H113" s="39"/>
      <c r="L113" s="87"/>
      <c r="M113" s="169"/>
      <c r="N113" s="26"/>
      <c r="O113" s="99"/>
      <c r="R113" s="53"/>
      <c r="S113" s="65"/>
      <c r="T113" s="66"/>
      <c r="U113" s="58"/>
      <c r="V113" s="184"/>
    </row>
    <row r="114" ht="15.75" customHeight="1">
      <c r="B114" s="17" t="s">
        <v>26</v>
      </c>
      <c r="C114" s="18">
        <v>45868.0</v>
      </c>
      <c r="D114" s="179">
        <f t="shared" si="1"/>
        <v>45868</v>
      </c>
      <c r="E114" s="20">
        <v>500.0</v>
      </c>
      <c r="F114" s="21"/>
      <c r="G114" s="22"/>
      <c r="H114" s="39"/>
      <c r="L114" s="87"/>
      <c r="M114" s="169"/>
      <c r="N114" s="26"/>
      <c r="O114" s="99"/>
      <c r="R114" s="53"/>
      <c r="S114" s="65"/>
      <c r="T114" s="66"/>
      <c r="U114" s="58"/>
      <c r="V114" s="184"/>
    </row>
    <row r="115" ht="15.75" customHeight="1">
      <c r="B115" s="17" t="s">
        <v>61</v>
      </c>
      <c r="C115" s="18">
        <v>45868.0</v>
      </c>
      <c r="D115" s="179">
        <f t="shared" si="1"/>
        <v>45868</v>
      </c>
      <c r="E115" s="20">
        <v>370.0</v>
      </c>
      <c r="F115" s="21"/>
      <c r="G115" s="22"/>
      <c r="H115" s="39"/>
      <c r="L115" s="87"/>
      <c r="M115" s="169"/>
      <c r="N115" s="26"/>
      <c r="O115" s="99"/>
      <c r="R115" s="53"/>
      <c r="S115" s="65"/>
      <c r="T115" s="66"/>
      <c r="U115" s="58"/>
      <c r="V115" s="184"/>
    </row>
    <row r="116" ht="15.75" customHeight="1">
      <c r="B116" s="17" t="s">
        <v>61</v>
      </c>
      <c r="C116" s="18">
        <v>45870.0</v>
      </c>
      <c r="D116" s="179">
        <f t="shared" si="1"/>
        <v>45870</v>
      </c>
      <c r="E116" s="20">
        <v>300.0</v>
      </c>
      <c r="F116" s="21"/>
      <c r="G116" s="22"/>
      <c r="H116" s="39"/>
      <c r="L116" s="87"/>
      <c r="M116" s="169"/>
      <c r="N116" s="26"/>
      <c r="O116" s="99"/>
      <c r="R116" s="53"/>
      <c r="S116" s="65"/>
      <c r="T116" s="66"/>
      <c r="U116" s="58"/>
      <c r="V116" s="184"/>
    </row>
    <row r="117" ht="15.75" customHeight="1">
      <c r="B117" s="17" t="s">
        <v>209</v>
      </c>
      <c r="C117" s="18">
        <v>45870.0</v>
      </c>
      <c r="D117" s="179">
        <f t="shared" si="1"/>
        <v>45870</v>
      </c>
      <c r="E117" s="20">
        <v>500.0</v>
      </c>
      <c r="F117" s="21"/>
      <c r="G117" s="22"/>
      <c r="H117" s="39"/>
      <c r="L117" s="87"/>
      <c r="M117" s="169"/>
      <c r="N117" s="26"/>
      <c r="O117" s="99"/>
      <c r="R117" s="53"/>
      <c r="S117" s="65"/>
      <c r="T117" s="66"/>
      <c r="U117" s="58"/>
      <c r="V117" s="184"/>
    </row>
    <row r="118" ht="15.75" customHeight="1">
      <c r="B118" s="17" t="s">
        <v>176</v>
      </c>
      <c r="C118" s="18">
        <v>45874.0</v>
      </c>
      <c r="D118" s="179">
        <f t="shared" si="1"/>
        <v>45874</v>
      </c>
      <c r="E118" s="20">
        <v>375.0</v>
      </c>
      <c r="F118" s="21"/>
      <c r="G118" s="22"/>
      <c r="H118" s="39"/>
      <c r="L118" s="87"/>
      <c r="M118" s="169"/>
      <c r="N118" s="26"/>
      <c r="O118" s="99"/>
      <c r="R118" s="53"/>
      <c r="S118" s="65"/>
      <c r="T118" s="66"/>
      <c r="U118" s="58"/>
      <c r="V118" s="184"/>
    </row>
    <row r="119" ht="15.75" customHeight="1">
      <c r="B119" s="17" t="s">
        <v>214</v>
      </c>
      <c r="C119" s="18">
        <v>45874.0</v>
      </c>
      <c r="D119" s="179">
        <f t="shared" si="1"/>
        <v>45874</v>
      </c>
      <c r="E119" s="20">
        <v>500.0</v>
      </c>
      <c r="F119" s="21"/>
      <c r="G119" s="22"/>
      <c r="H119" s="39"/>
      <c r="L119" s="87"/>
      <c r="M119" s="169"/>
      <c r="N119" s="26"/>
      <c r="O119" s="99"/>
      <c r="R119" s="53"/>
      <c r="S119" s="65"/>
      <c r="T119" s="66"/>
      <c r="U119" s="58"/>
      <c r="V119" s="184"/>
    </row>
    <row r="120" ht="15.75" customHeight="1">
      <c r="B120" s="17" t="s">
        <v>244</v>
      </c>
      <c r="C120" s="18">
        <v>45874.0</v>
      </c>
      <c r="D120" s="179">
        <f t="shared" si="1"/>
        <v>45874</v>
      </c>
      <c r="E120" s="20">
        <v>500.0</v>
      </c>
      <c r="F120" s="21"/>
      <c r="G120" s="22"/>
      <c r="H120" s="39"/>
      <c r="L120" s="87"/>
      <c r="M120" s="169"/>
      <c r="N120" s="26"/>
      <c r="O120" s="99"/>
      <c r="R120" s="53"/>
      <c r="S120" s="65"/>
      <c r="T120" s="66"/>
      <c r="U120" s="58"/>
      <c r="V120" s="184"/>
    </row>
    <row r="121" ht="15.75" customHeight="1">
      <c r="B121" s="17" t="s">
        <v>26</v>
      </c>
      <c r="C121" s="18">
        <v>45875.0</v>
      </c>
      <c r="D121" s="179">
        <f t="shared" si="1"/>
        <v>45875</v>
      </c>
      <c r="E121" s="20">
        <v>500.0</v>
      </c>
      <c r="F121" s="21"/>
      <c r="G121" s="22"/>
      <c r="H121" s="39"/>
      <c r="L121" s="87"/>
      <c r="M121" s="169"/>
      <c r="N121" s="26"/>
      <c r="O121" s="99"/>
      <c r="R121" s="53"/>
      <c r="S121" s="65"/>
      <c r="T121" s="66"/>
      <c r="U121" s="58"/>
      <c r="V121" s="184"/>
    </row>
    <row r="122" ht="15.75" customHeight="1">
      <c r="B122" s="17" t="s">
        <v>209</v>
      </c>
      <c r="C122" s="18">
        <v>45877.0</v>
      </c>
      <c r="D122" s="179">
        <f t="shared" si="1"/>
        <v>45877</v>
      </c>
      <c r="E122" s="20">
        <v>500.0</v>
      </c>
      <c r="F122" s="21"/>
      <c r="G122" s="22"/>
      <c r="H122" s="39"/>
      <c r="L122" s="87"/>
      <c r="M122" s="169"/>
      <c r="N122" s="26"/>
      <c r="O122" s="99"/>
      <c r="R122" s="53"/>
      <c r="S122" s="65"/>
      <c r="T122" s="66"/>
      <c r="U122" s="58"/>
      <c r="V122" s="184"/>
    </row>
    <row r="123" ht="15.75" customHeight="1">
      <c r="B123" s="17" t="s">
        <v>264</v>
      </c>
      <c r="C123" s="18">
        <v>45877.0</v>
      </c>
      <c r="D123" s="179">
        <f t="shared" si="1"/>
        <v>45877</v>
      </c>
      <c r="E123" s="20">
        <v>500.0</v>
      </c>
      <c r="F123" s="21"/>
      <c r="G123" s="22"/>
      <c r="H123" s="39"/>
      <c r="L123" s="87"/>
      <c r="M123" s="169"/>
      <c r="N123" s="26"/>
      <c r="O123" s="99"/>
      <c r="R123" s="53"/>
      <c r="S123" s="65"/>
      <c r="T123" s="66"/>
      <c r="U123" s="58"/>
      <c r="V123" s="184"/>
    </row>
    <row r="124" ht="15.75" customHeight="1">
      <c r="B124" s="17" t="s">
        <v>176</v>
      </c>
      <c r="C124" s="18">
        <v>45881.0</v>
      </c>
      <c r="D124" s="179">
        <f t="shared" si="1"/>
        <v>45881</v>
      </c>
      <c r="E124" s="20">
        <v>375.0</v>
      </c>
      <c r="F124" s="21"/>
      <c r="G124" s="22"/>
      <c r="H124" s="39"/>
      <c r="L124" s="87"/>
      <c r="M124" s="169"/>
      <c r="N124" s="26"/>
      <c r="O124" s="99"/>
      <c r="R124" s="53"/>
      <c r="S124" s="65"/>
      <c r="T124" s="66"/>
      <c r="U124" s="58"/>
      <c r="V124" s="184"/>
    </row>
    <row r="125" ht="15.75" customHeight="1">
      <c r="B125" s="17" t="s">
        <v>26</v>
      </c>
      <c r="C125" s="18">
        <v>45882.0</v>
      </c>
      <c r="D125" s="179">
        <f t="shared" si="1"/>
        <v>45882</v>
      </c>
      <c r="E125" s="20">
        <v>250.0</v>
      </c>
      <c r="F125" s="21"/>
      <c r="G125" s="22"/>
      <c r="H125" s="39"/>
      <c r="L125" s="87"/>
      <c r="M125" s="169"/>
      <c r="N125" s="26"/>
      <c r="O125" s="99"/>
      <c r="R125" s="53"/>
      <c r="S125" s="65"/>
      <c r="T125" s="66"/>
      <c r="U125" s="58"/>
      <c r="V125" s="184"/>
    </row>
    <row r="126" ht="15.75" customHeight="1">
      <c r="B126" s="17" t="s">
        <v>265</v>
      </c>
      <c r="C126" s="18">
        <v>45887.0</v>
      </c>
      <c r="D126" s="179">
        <f t="shared" si="1"/>
        <v>45887</v>
      </c>
      <c r="E126" s="20">
        <v>375.0</v>
      </c>
      <c r="F126" s="21"/>
      <c r="G126" s="22"/>
      <c r="H126" s="39"/>
      <c r="L126" s="87"/>
      <c r="M126" s="169"/>
      <c r="N126" s="26"/>
      <c r="O126" s="99"/>
      <c r="R126" s="53"/>
      <c r="S126" s="65"/>
      <c r="T126" s="66"/>
      <c r="U126" s="58"/>
      <c r="V126" s="184"/>
    </row>
    <row r="127" ht="15.75" customHeight="1">
      <c r="B127" s="17" t="s">
        <v>266</v>
      </c>
      <c r="C127" s="18">
        <v>45888.0</v>
      </c>
      <c r="D127" s="179">
        <f t="shared" si="1"/>
        <v>45888</v>
      </c>
      <c r="E127" s="20">
        <v>500.0</v>
      </c>
      <c r="F127" s="21"/>
      <c r="G127" s="22"/>
      <c r="H127" s="39"/>
      <c r="L127" s="87"/>
      <c r="M127" s="169"/>
      <c r="N127" s="26"/>
      <c r="O127" s="99"/>
      <c r="R127" s="53"/>
      <c r="S127" s="65"/>
      <c r="T127" s="66"/>
      <c r="U127" s="58"/>
      <c r="V127" s="184"/>
    </row>
    <row r="128" ht="15.75" customHeight="1">
      <c r="B128" s="17" t="s">
        <v>214</v>
      </c>
      <c r="C128" s="18">
        <v>45888.0</v>
      </c>
      <c r="D128" s="179">
        <f t="shared" si="1"/>
        <v>45888</v>
      </c>
      <c r="E128" s="20">
        <v>500.0</v>
      </c>
      <c r="F128" s="21"/>
      <c r="G128" s="22"/>
      <c r="H128" s="39"/>
      <c r="L128" s="87"/>
      <c r="M128" s="169"/>
      <c r="N128" s="26"/>
      <c r="O128" s="99"/>
      <c r="R128" s="53"/>
      <c r="S128" s="65"/>
      <c r="T128" s="66"/>
      <c r="U128" s="58"/>
      <c r="V128" s="184"/>
    </row>
    <row r="129" ht="15.75" customHeight="1">
      <c r="B129" s="17" t="s">
        <v>26</v>
      </c>
      <c r="C129" s="18">
        <v>45889.0</v>
      </c>
      <c r="D129" s="179">
        <f t="shared" si="1"/>
        <v>45889</v>
      </c>
      <c r="E129" s="20">
        <v>500.0</v>
      </c>
      <c r="F129" s="21"/>
      <c r="G129" s="22"/>
      <c r="H129" s="39"/>
      <c r="L129" s="87"/>
      <c r="M129" s="169"/>
      <c r="N129" s="26"/>
      <c r="O129" s="99"/>
      <c r="R129" s="53"/>
      <c r="S129" s="65"/>
      <c r="T129" s="66"/>
      <c r="U129" s="58"/>
      <c r="V129" s="184"/>
    </row>
    <row r="130" ht="15.75" customHeight="1">
      <c r="B130" s="17" t="s">
        <v>61</v>
      </c>
      <c r="C130" s="18">
        <v>45890.0</v>
      </c>
      <c r="D130" s="179">
        <f t="shared" si="1"/>
        <v>45890</v>
      </c>
      <c r="E130" s="20">
        <v>500.0</v>
      </c>
      <c r="F130" s="21"/>
      <c r="G130" s="22"/>
      <c r="H130" s="39"/>
      <c r="L130" s="87"/>
      <c r="M130" s="169"/>
      <c r="N130" s="26"/>
      <c r="O130" s="99"/>
      <c r="R130" s="53"/>
      <c r="S130" s="65"/>
      <c r="T130" s="66"/>
      <c r="U130" s="58"/>
      <c r="V130" s="184"/>
    </row>
    <row r="131" ht="15.75" customHeight="1">
      <c r="B131" s="17" t="s">
        <v>209</v>
      </c>
      <c r="C131" s="18">
        <v>45891.0</v>
      </c>
      <c r="D131" s="179">
        <f t="shared" si="1"/>
        <v>45891</v>
      </c>
      <c r="E131" s="20">
        <v>1000.0</v>
      </c>
      <c r="F131" s="21"/>
      <c r="G131" s="22"/>
      <c r="H131" s="39"/>
      <c r="L131" s="87"/>
      <c r="M131" s="169"/>
      <c r="N131" s="26"/>
      <c r="O131" s="99"/>
      <c r="R131" s="53"/>
      <c r="S131" s="65"/>
      <c r="T131" s="66"/>
      <c r="U131" s="58"/>
      <c r="V131" s="184"/>
    </row>
    <row r="132" ht="15.75" customHeight="1">
      <c r="B132" s="17" t="s">
        <v>61</v>
      </c>
      <c r="C132" s="18">
        <v>45894.0</v>
      </c>
      <c r="D132" s="179">
        <f t="shared" si="1"/>
        <v>45894</v>
      </c>
      <c r="E132" s="20">
        <v>500.0</v>
      </c>
      <c r="F132" s="21"/>
      <c r="G132" s="22"/>
      <c r="H132" s="39"/>
      <c r="L132" s="87"/>
      <c r="M132" s="169"/>
      <c r="N132" s="26"/>
      <c r="O132" s="99"/>
      <c r="R132" s="53"/>
      <c r="S132" s="65"/>
      <c r="T132" s="66"/>
      <c r="U132" s="58"/>
      <c r="V132" s="184"/>
    </row>
    <row r="133" ht="15.75" customHeight="1">
      <c r="B133" s="17" t="s">
        <v>61</v>
      </c>
      <c r="C133" s="18">
        <v>45894.0</v>
      </c>
      <c r="D133" s="179">
        <f t="shared" si="1"/>
        <v>45894</v>
      </c>
      <c r="E133" s="20">
        <v>290.0</v>
      </c>
      <c r="F133" s="21"/>
      <c r="G133" s="22"/>
      <c r="H133" s="39"/>
      <c r="L133" s="87"/>
      <c r="M133" s="169"/>
      <c r="N133" s="26"/>
      <c r="O133" s="99"/>
      <c r="R133" s="53"/>
      <c r="S133" s="65"/>
      <c r="T133" s="66"/>
      <c r="U133" s="58"/>
      <c r="V133" s="184"/>
    </row>
    <row r="134" ht="15.75" customHeight="1">
      <c r="B134" s="17" t="s">
        <v>36</v>
      </c>
      <c r="C134" s="18">
        <v>45895.0</v>
      </c>
      <c r="D134" s="179">
        <f t="shared" si="1"/>
        <v>45895</v>
      </c>
      <c r="E134" s="20">
        <v>3000.0</v>
      </c>
      <c r="F134" s="21"/>
      <c r="G134" s="22"/>
      <c r="H134" s="39"/>
      <c r="L134" s="87"/>
      <c r="M134" s="169"/>
      <c r="N134" s="26"/>
      <c r="O134" s="99"/>
      <c r="R134" s="53"/>
      <c r="S134" s="65"/>
      <c r="T134" s="66"/>
      <c r="U134" s="58"/>
      <c r="V134" s="184"/>
    </row>
    <row r="135" ht="15.75" customHeight="1">
      <c r="B135" s="17"/>
      <c r="C135" s="18"/>
      <c r="D135" s="179"/>
      <c r="E135" s="20"/>
      <c r="F135" s="21"/>
      <c r="G135" s="22"/>
      <c r="H135" s="39"/>
      <c r="L135" s="87"/>
      <c r="M135" s="169"/>
      <c r="N135" s="26"/>
      <c r="O135" s="99"/>
      <c r="R135" s="53"/>
      <c r="S135" s="65"/>
      <c r="T135" s="66"/>
      <c r="U135" s="58"/>
      <c r="V135" s="184"/>
    </row>
    <row r="136" ht="15.75" customHeight="1">
      <c r="B136" s="17"/>
      <c r="C136" s="18"/>
      <c r="D136" s="179"/>
      <c r="E136" s="20"/>
      <c r="F136" s="21"/>
      <c r="G136" s="22"/>
      <c r="H136" s="39"/>
      <c r="L136" s="87"/>
      <c r="M136" s="169"/>
      <c r="N136" s="26"/>
      <c r="O136" s="99"/>
      <c r="R136" s="53"/>
      <c r="S136" s="65"/>
      <c r="T136" s="66"/>
      <c r="U136" s="58"/>
      <c r="V136" s="184"/>
    </row>
    <row r="137" ht="15.75" customHeight="1">
      <c r="B137" s="17"/>
      <c r="C137" s="18"/>
      <c r="D137" s="179"/>
      <c r="E137" s="20"/>
      <c r="F137" s="21"/>
      <c r="G137" s="22"/>
      <c r="H137" s="39"/>
      <c r="L137" s="87"/>
      <c r="M137" s="169"/>
      <c r="N137" s="26"/>
      <c r="O137" s="99"/>
      <c r="R137" s="53"/>
      <c r="S137" s="65"/>
      <c r="T137" s="66"/>
      <c r="U137" s="58"/>
      <c r="V137" s="184"/>
    </row>
    <row r="138" ht="15.75" customHeight="1">
      <c r="B138" s="17"/>
      <c r="C138" s="18"/>
      <c r="D138" s="179"/>
      <c r="E138" s="20"/>
      <c r="F138" s="21"/>
      <c r="G138" s="22"/>
      <c r="H138" s="39"/>
      <c r="L138" s="87"/>
      <c r="M138" s="169"/>
      <c r="N138" s="26"/>
      <c r="O138" s="99"/>
      <c r="R138" s="53"/>
      <c r="S138" s="65"/>
      <c r="T138" s="66"/>
      <c r="U138" s="58"/>
      <c r="V138" s="184"/>
    </row>
    <row r="139" ht="15.75" customHeight="1">
      <c r="B139" s="17"/>
      <c r="C139" s="18"/>
      <c r="D139" s="179"/>
      <c r="E139" s="20"/>
      <c r="F139" s="21"/>
      <c r="G139" s="22"/>
      <c r="H139" s="39"/>
      <c r="L139" s="87"/>
      <c r="M139" s="169"/>
      <c r="N139" s="26"/>
      <c r="O139" s="99"/>
      <c r="R139" s="53"/>
      <c r="S139" s="65"/>
      <c r="T139" s="66"/>
      <c r="U139" s="58"/>
      <c r="V139" s="184"/>
    </row>
    <row r="140" ht="15.75" customHeight="1">
      <c r="B140" s="17"/>
      <c r="C140" s="18"/>
      <c r="D140" s="179"/>
      <c r="E140" s="20"/>
      <c r="F140" s="21"/>
      <c r="G140" s="22"/>
      <c r="H140" s="39"/>
      <c r="L140" s="87"/>
      <c r="M140" s="169"/>
      <c r="N140" s="26"/>
      <c r="O140" s="99"/>
      <c r="R140" s="53"/>
      <c r="S140" s="65"/>
      <c r="T140" s="66"/>
      <c r="U140" s="58"/>
      <c r="V140" s="184"/>
    </row>
    <row r="141" ht="15.75" customHeight="1">
      <c r="B141" s="17"/>
      <c r="C141" s="18"/>
      <c r="D141" s="179"/>
      <c r="E141" s="20"/>
      <c r="F141" s="21"/>
      <c r="G141" s="22"/>
      <c r="H141" s="39"/>
      <c r="L141" s="87"/>
      <c r="M141" s="169"/>
      <c r="N141" s="26"/>
      <c r="O141" s="99"/>
      <c r="R141" s="53"/>
      <c r="S141" s="65"/>
      <c r="T141" s="66"/>
      <c r="U141" s="58"/>
      <c r="V141" s="184"/>
    </row>
    <row r="142" ht="15.75" customHeight="1">
      <c r="B142" s="17"/>
      <c r="C142" s="18"/>
      <c r="D142" s="179"/>
      <c r="E142" s="20"/>
      <c r="F142" s="21"/>
      <c r="G142" s="22"/>
      <c r="H142" s="39"/>
      <c r="L142" s="87"/>
      <c r="M142" s="169"/>
      <c r="N142" s="26"/>
      <c r="O142" s="99"/>
      <c r="R142" s="53"/>
      <c r="S142" s="65"/>
      <c r="T142" s="66"/>
      <c r="U142" s="58"/>
      <c r="V142" s="184"/>
    </row>
    <row r="143" ht="15.75" customHeight="1">
      <c r="B143" s="17"/>
      <c r="C143" s="18"/>
      <c r="D143" s="179"/>
      <c r="E143" s="20"/>
      <c r="F143" s="21"/>
      <c r="G143" s="22"/>
      <c r="H143" s="39"/>
      <c r="L143" s="87"/>
      <c r="M143" s="169"/>
      <c r="N143" s="26"/>
      <c r="O143" s="99"/>
      <c r="R143" s="53"/>
      <c r="S143" s="65"/>
      <c r="T143" s="66"/>
      <c r="U143" s="58"/>
      <c r="V143" s="184"/>
    </row>
    <row r="144" ht="15.75" customHeight="1">
      <c r="B144" s="17"/>
      <c r="C144" s="18"/>
      <c r="D144" s="179"/>
      <c r="E144" s="20"/>
      <c r="F144" s="21"/>
      <c r="G144" s="22"/>
      <c r="H144" s="39"/>
      <c r="L144" s="87"/>
      <c r="M144" s="169"/>
      <c r="N144" s="26"/>
      <c r="O144" s="99"/>
      <c r="R144" s="53"/>
      <c r="S144" s="65"/>
      <c r="T144" s="66"/>
      <c r="U144" s="58"/>
      <c r="V144" s="184"/>
    </row>
    <row r="145" ht="15.75" customHeight="1">
      <c r="B145" s="17"/>
      <c r="C145" s="18"/>
      <c r="D145" s="179"/>
      <c r="E145" s="20"/>
      <c r="F145" s="21"/>
      <c r="G145" s="22"/>
      <c r="H145" s="39"/>
      <c r="L145" s="87"/>
      <c r="M145" s="169"/>
      <c r="N145" s="26"/>
      <c r="O145" s="99"/>
      <c r="R145" s="53"/>
      <c r="S145" s="65"/>
      <c r="T145" s="66"/>
      <c r="U145" s="58"/>
      <c r="V145" s="184"/>
    </row>
    <row r="146" ht="15.75" customHeight="1">
      <c r="B146" s="17"/>
      <c r="C146" s="18"/>
      <c r="D146" s="179"/>
      <c r="E146" s="20"/>
      <c r="F146" s="21"/>
      <c r="G146" s="22"/>
      <c r="H146" s="39"/>
      <c r="L146" s="87"/>
      <c r="M146" s="169"/>
      <c r="N146" s="26"/>
      <c r="O146" s="99"/>
      <c r="R146" s="53"/>
      <c r="S146" s="65"/>
      <c r="T146" s="66"/>
      <c r="U146" s="58"/>
      <c r="V146" s="184"/>
    </row>
    <row r="147" ht="15.75" customHeight="1">
      <c r="B147" s="17"/>
      <c r="C147" s="18"/>
      <c r="D147" s="179" t="str">
        <f t="shared" ref="D147:D151" si="2">IF(C147="","",C147)</f>
        <v/>
      </c>
      <c r="E147" s="20"/>
      <c r="F147" s="21"/>
      <c r="G147" s="22"/>
      <c r="H147" s="39"/>
      <c r="L147" s="87"/>
      <c r="M147" s="169"/>
      <c r="N147" s="26"/>
      <c r="O147" s="99"/>
      <c r="R147" s="53"/>
      <c r="S147" s="65"/>
      <c r="T147" s="66"/>
      <c r="U147" s="58"/>
      <c r="V147" s="184"/>
    </row>
    <row r="148" ht="15.75" customHeight="1">
      <c r="B148" s="17"/>
      <c r="C148" s="18"/>
      <c r="D148" s="179" t="str">
        <f t="shared" si="2"/>
        <v/>
      </c>
      <c r="E148" s="20"/>
      <c r="F148" s="21"/>
      <c r="G148" s="22"/>
      <c r="H148" s="39"/>
      <c r="L148" s="87"/>
      <c r="M148" s="169"/>
      <c r="N148" s="26"/>
      <c r="O148" s="99"/>
      <c r="R148" s="53"/>
      <c r="S148" s="65"/>
      <c r="T148" s="66"/>
      <c r="U148" s="58"/>
      <c r="V148" s="184"/>
    </row>
    <row r="149" ht="15.75" customHeight="1">
      <c r="B149" s="17"/>
      <c r="C149" s="18"/>
      <c r="D149" s="179" t="str">
        <f t="shared" si="2"/>
        <v/>
      </c>
      <c r="E149" s="20"/>
      <c r="F149" s="21"/>
      <c r="G149" s="22"/>
      <c r="H149" s="39"/>
      <c r="L149" s="87"/>
      <c r="M149" s="169"/>
      <c r="N149" s="26"/>
      <c r="O149" s="99"/>
      <c r="R149" s="53"/>
      <c r="S149" s="65"/>
      <c r="T149" s="66"/>
      <c r="U149" s="58"/>
      <c r="V149" s="184"/>
    </row>
    <row r="150" ht="15.75" customHeight="1">
      <c r="B150" s="17"/>
      <c r="C150" s="18"/>
      <c r="D150" s="179" t="str">
        <f t="shared" si="2"/>
        <v/>
      </c>
      <c r="E150" s="20"/>
      <c r="F150" s="21"/>
      <c r="G150" s="22"/>
      <c r="H150" s="39"/>
      <c r="L150" s="87"/>
      <c r="M150" s="169"/>
      <c r="N150" s="26"/>
      <c r="O150" s="99"/>
      <c r="R150" s="53"/>
      <c r="S150" s="65"/>
      <c r="T150" s="66"/>
      <c r="U150" s="58"/>
      <c r="V150" s="184"/>
    </row>
    <row r="151" ht="15.75" customHeight="1">
      <c r="B151" s="17"/>
      <c r="C151" s="18"/>
      <c r="D151" s="179" t="str">
        <f t="shared" si="2"/>
        <v/>
      </c>
      <c r="E151" s="20"/>
      <c r="F151" s="21"/>
      <c r="G151" s="22"/>
      <c r="H151" s="39"/>
      <c r="L151" s="88" t="s">
        <v>46</v>
      </c>
      <c r="M151" s="89"/>
      <c r="N151" s="90">
        <f>SUM(N5:N150)</f>
        <v>57875</v>
      </c>
      <c r="O151" s="99"/>
      <c r="R151" s="91" t="s">
        <v>46</v>
      </c>
      <c r="S151" s="92"/>
      <c r="T151" s="93">
        <f>SUM(T5:T150)-SUM(T5:T24)</f>
        <v>0</v>
      </c>
      <c r="U151" s="94"/>
      <c r="V151" s="184"/>
    </row>
    <row r="152" ht="15.75" customHeight="1">
      <c r="B152" s="96" t="s">
        <v>46</v>
      </c>
      <c r="C152" s="9"/>
      <c r="D152" s="10"/>
      <c r="E152" s="97">
        <f>SUM(E5:E151)+SUM(G5:G151)</f>
        <v>65921</v>
      </c>
      <c r="F152" s="98"/>
      <c r="G152" s="98">
        <f>SUM(G11:G151)</f>
        <v>0</v>
      </c>
      <c r="H152" s="99"/>
      <c r="L152" s="100"/>
      <c r="M152" s="101"/>
      <c r="N152" s="84"/>
      <c r="O152" s="99"/>
      <c r="R152" s="100"/>
      <c r="S152" s="101"/>
      <c r="T152" s="84"/>
      <c r="U152" s="43"/>
      <c r="V152" s="184"/>
    </row>
    <row r="153" ht="15.75" customHeight="1">
      <c r="B153" s="96" t="s">
        <v>140</v>
      </c>
      <c r="C153" s="9"/>
      <c r="D153" s="10"/>
      <c r="E153" s="97">
        <f>E152-N153</f>
        <v>8046</v>
      </c>
      <c r="F153" s="98"/>
      <c r="G153" s="98"/>
      <c r="H153" s="99"/>
      <c r="L153" s="96" t="s">
        <v>141</v>
      </c>
      <c r="M153" s="10"/>
      <c r="N153" s="102">
        <f>SUM(N5:N150)</f>
        <v>57875</v>
      </c>
      <c r="O153" s="103"/>
    </row>
    <row r="154" ht="15.75" customHeight="1">
      <c r="B154" s="104" t="s">
        <v>142</v>
      </c>
      <c r="C154" s="9"/>
      <c r="D154" s="10"/>
      <c r="E154" s="105"/>
      <c r="F154" s="106"/>
      <c r="G154" s="107"/>
      <c r="H154" s="108"/>
      <c r="L154" s="109" t="s">
        <v>143</v>
      </c>
      <c r="M154" s="10"/>
      <c r="N154" s="110">
        <f>6000-SUM(1350,N67,N70:N75:N76)</f>
        <v>0</v>
      </c>
      <c r="O154" s="175" t="str">
        <f>SUM(#REF!,#REF!,#REF!,#REF!,#REF!,#REF!,#REF!,#REF!,#REF!,#REF!)</f>
        <v>#REF!</v>
      </c>
    </row>
    <row r="155" ht="15.75" customHeight="1">
      <c r="B155" s="104" t="s">
        <v>145</v>
      </c>
      <c r="C155" s="9"/>
      <c r="D155" s="10"/>
      <c r="E155" s="107"/>
      <c r="F155" s="70"/>
      <c r="G155" s="107"/>
      <c r="H155" s="108"/>
      <c r="L155" s="111"/>
      <c r="N155" s="5"/>
      <c r="O155" s="112"/>
      <c r="S155" s="4"/>
      <c r="T155" s="5"/>
    </row>
    <row r="156" ht="15.75" customHeight="1">
      <c r="B156" s="113" t="s">
        <v>146</v>
      </c>
      <c r="C156" s="9"/>
      <c r="D156" s="10"/>
      <c r="E156" s="114"/>
      <c r="F156" s="107"/>
      <c r="G156" s="107"/>
      <c r="H156" s="108"/>
      <c r="M156" s="4"/>
      <c r="N156" s="5"/>
      <c r="S156" s="4"/>
      <c r="T156" s="5"/>
    </row>
    <row r="157" ht="15.75" customHeight="1">
      <c r="M157" s="4"/>
      <c r="N157" s="5"/>
      <c r="S157" s="4"/>
      <c r="T157" s="5"/>
    </row>
    <row r="158" ht="15.75" customHeight="1">
      <c r="F158" s="5"/>
      <c r="M158" s="4"/>
      <c r="N158" s="5"/>
      <c r="S158" s="4"/>
      <c r="T158" s="5"/>
    </row>
    <row r="159" ht="15.75" customHeight="1">
      <c r="M159" s="4"/>
      <c r="N159" s="5"/>
      <c r="S159" s="4"/>
      <c r="T159" s="5"/>
    </row>
    <row r="160" ht="15.75" customHeight="1">
      <c r="E160" s="5"/>
      <c r="M160" s="4"/>
      <c r="N160" s="5"/>
      <c r="S160" s="4"/>
      <c r="T160" s="5"/>
    </row>
    <row r="161" ht="15.75" customHeight="1">
      <c r="M161" s="4"/>
      <c r="N161" s="5"/>
      <c r="S161" s="4"/>
      <c r="T161" s="5"/>
    </row>
    <row r="162" ht="15.75" customHeight="1">
      <c r="C162" s="115"/>
      <c r="D162" s="206" t="s">
        <v>147</v>
      </c>
      <c r="E162" s="117"/>
      <c r="F162" s="117"/>
      <c r="G162" s="118"/>
      <c r="M162" s="4"/>
      <c r="N162" s="5"/>
      <c r="S162" s="4"/>
      <c r="T162" s="5"/>
    </row>
    <row r="163" ht="15.75" customHeight="1">
      <c r="C163" s="119" t="s">
        <v>148</v>
      </c>
      <c r="D163" s="121" t="s">
        <v>149</v>
      </c>
      <c r="E163" s="121" t="s">
        <v>150</v>
      </c>
      <c r="F163" s="121" t="s">
        <v>151</v>
      </c>
      <c r="G163" s="121" t="s">
        <v>152</v>
      </c>
      <c r="M163" s="4"/>
      <c r="N163" s="5"/>
      <c r="S163" s="4"/>
      <c r="T163" s="5"/>
    </row>
    <row r="164" ht="15.75" customHeight="1">
      <c r="C164" s="115"/>
      <c r="D164" s="207">
        <v>30.0</v>
      </c>
      <c r="E164" s="208">
        <v>420.0</v>
      </c>
      <c r="F164" s="176">
        <v>1500.0</v>
      </c>
      <c r="G164" s="177">
        <v>3100.0</v>
      </c>
      <c r="M164" s="4" t="s">
        <v>267</v>
      </c>
      <c r="N164" s="5"/>
      <c r="S164" s="4"/>
      <c r="T164" s="5"/>
    </row>
    <row r="165" ht="43.5" customHeight="1">
      <c r="C165" s="126"/>
      <c r="D165" s="117"/>
      <c r="E165" s="117"/>
      <c r="F165" s="117"/>
      <c r="G165" s="118"/>
      <c r="M165" s="4"/>
      <c r="N165" s="5"/>
      <c r="S165" s="4"/>
      <c r="T165" s="5"/>
    </row>
    <row r="166" ht="15.75" customHeight="1">
      <c r="C166" s="127" t="s">
        <v>153</v>
      </c>
      <c r="D166" s="128" t="s">
        <v>154</v>
      </c>
      <c r="E166" s="128" t="s">
        <v>155</v>
      </c>
      <c r="F166" s="128" t="s">
        <v>156</v>
      </c>
      <c r="G166" s="128" t="s">
        <v>157</v>
      </c>
      <c r="M166" s="4"/>
      <c r="N166" s="5"/>
      <c r="S166" s="4"/>
      <c r="T166" s="5"/>
    </row>
    <row r="167" ht="15.75" customHeight="1">
      <c r="D167" s="207">
        <v>0.0</v>
      </c>
      <c r="E167" s="208">
        <v>0.0</v>
      </c>
      <c r="F167" s="176">
        <v>0.0</v>
      </c>
      <c r="G167" s="177">
        <v>0.0</v>
      </c>
      <c r="M167" s="4"/>
      <c r="N167" s="5"/>
      <c r="S167" s="4"/>
      <c r="T167" s="5"/>
    </row>
    <row r="168" ht="15.75" customHeight="1">
      <c r="C168" s="115"/>
      <c r="D168" s="209" t="s">
        <v>158</v>
      </c>
      <c r="E168" s="118"/>
      <c r="F168" s="130">
        <f>SUM(D164:G164,D167:G167)</f>
        <v>5050</v>
      </c>
      <c r="G168" s="115"/>
      <c r="M168" s="4"/>
      <c r="N168" s="5"/>
      <c r="S168" s="4"/>
      <c r="T168" s="5"/>
    </row>
    <row r="169" ht="54.0" customHeight="1">
      <c r="C169" s="115"/>
      <c r="D169" s="210" t="s">
        <v>159</v>
      </c>
      <c r="E169" s="118"/>
      <c r="F169" s="132" t="str">
        <f>E153-O154</f>
        <v>#REF!</v>
      </c>
      <c r="G169" s="115"/>
      <c r="H169" s="5">
        <f>G164+F164+E164</f>
        <v>5020</v>
      </c>
      <c r="L169" s="7">
        <v>-4000.0</v>
      </c>
      <c r="M169" s="4" t="s">
        <v>268</v>
      </c>
      <c r="N169" s="5"/>
      <c r="S169" s="4"/>
      <c r="T169" s="5"/>
    </row>
    <row r="170" ht="15.75" customHeight="1">
      <c r="M170" s="4"/>
      <c r="N170" s="5"/>
      <c r="S170" s="4"/>
      <c r="T170" s="5"/>
    </row>
    <row r="171" ht="15.75" customHeight="1">
      <c r="M171" s="4"/>
      <c r="N171" s="5"/>
      <c r="S171" s="4"/>
      <c r="T171" s="5"/>
    </row>
    <row r="172" ht="15.75" customHeight="1">
      <c r="M172" s="4"/>
      <c r="N172" s="5"/>
      <c r="S172" s="4"/>
      <c r="T172" s="5"/>
    </row>
    <row r="173" ht="15.75" customHeight="1">
      <c r="C173" s="133" t="s">
        <v>160</v>
      </c>
      <c r="D173" s="134"/>
      <c r="E173" s="134"/>
      <c r="F173" s="134"/>
      <c r="G173" s="89"/>
      <c r="M173" s="4"/>
      <c r="N173" s="5"/>
      <c r="S173" s="4"/>
      <c r="T173" s="5"/>
    </row>
    <row r="174" ht="15.75" customHeight="1">
      <c r="C174" s="100"/>
      <c r="D174" s="135"/>
      <c r="E174" s="135"/>
      <c r="F174" s="135"/>
      <c r="G174" s="101"/>
      <c r="M174" s="4"/>
      <c r="N174" s="5"/>
      <c r="S174" s="4"/>
      <c r="T174" s="5"/>
    </row>
    <row r="175" ht="49.5" customHeight="1">
      <c r="C175" s="136" t="s">
        <v>161</v>
      </c>
      <c r="D175" s="211">
        <f>E152</f>
        <v>65921</v>
      </c>
      <c r="E175" s="9"/>
      <c r="F175" s="9"/>
      <c r="G175" s="10"/>
      <c r="H175" s="5">
        <f>SUM(D167,E167,F167,G167)</f>
        <v>0</v>
      </c>
      <c r="M175" s="4"/>
      <c r="N175" s="5"/>
      <c r="S175" s="4"/>
      <c r="T175" s="5"/>
    </row>
    <row r="176" ht="49.5" customHeight="1">
      <c r="C176" s="138" t="s">
        <v>162</v>
      </c>
      <c r="D176" s="211">
        <f>N151</f>
        <v>57875</v>
      </c>
      <c r="E176" s="9"/>
      <c r="F176" s="9"/>
      <c r="G176" s="10"/>
      <c r="M176" s="4"/>
      <c r="N176" s="5"/>
      <c r="S176" s="4"/>
      <c r="T176" s="5"/>
    </row>
    <row r="177" ht="49.5" customHeight="1">
      <c r="C177" s="139" t="s">
        <v>163</v>
      </c>
      <c r="D177" s="212">
        <f>T151</f>
        <v>0</v>
      </c>
      <c r="E177" s="9"/>
      <c r="F177" s="9"/>
      <c r="G177" s="10"/>
      <c r="M177" s="4"/>
      <c r="N177" s="5"/>
      <c r="S177" s="4"/>
      <c r="T177" s="5"/>
    </row>
    <row r="178" ht="49.5" customHeight="1">
      <c r="C178" s="141" t="s">
        <v>164</v>
      </c>
      <c r="D178" s="211">
        <f>E153</f>
        <v>8046</v>
      </c>
      <c r="E178" s="9"/>
      <c r="F178" s="9"/>
      <c r="G178" s="10"/>
      <c r="M178" s="4"/>
      <c r="N178" s="5"/>
      <c r="S178" s="4"/>
      <c r="T178" s="5"/>
    </row>
    <row r="179" ht="49.5" customHeight="1">
      <c r="C179" s="141" t="s">
        <v>165</v>
      </c>
      <c r="D179" s="211">
        <f>D178-D177</f>
        <v>8046</v>
      </c>
      <c r="E179" s="9"/>
      <c r="F179" s="9"/>
      <c r="G179" s="10"/>
      <c r="M179" s="4"/>
      <c r="N179" s="5"/>
      <c r="S179" s="4"/>
      <c r="T179" s="5"/>
    </row>
    <row r="180" ht="49.5" customHeight="1">
      <c r="C180" s="142" t="s">
        <v>166</v>
      </c>
      <c r="D180" s="211">
        <f>F168</f>
        <v>5050</v>
      </c>
      <c r="E180" s="9"/>
      <c r="F180" s="9"/>
      <c r="G180" s="10"/>
      <c r="M180" s="4"/>
      <c r="N180" s="5"/>
      <c r="S180" s="4"/>
      <c r="T180" s="5"/>
    </row>
    <row r="181" ht="49.5" customHeight="1">
      <c r="C181" s="213" t="s">
        <v>167</v>
      </c>
      <c r="D181" s="214">
        <f>D178-D180</f>
        <v>2996</v>
      </c>
      <c r="E181" s="9"/>
      <c r="F181" s="9"/>
      <c r="G181" s="10"/>
      <c r="M181" s="4"/>
      <c r="N181" s="5"/>
      <c r="S181" s="4"/>
      <c r="T181" s="5"/>
    </row>
    <row r="182" ht="15.75" customHeight="1">
      <c r="M182" s="4"/>
      <c r="N182" s="5"/>
      <c r="S182" s="4"/>
      <c r="T182" s="5"/>
    </row>
    <row r="183" ht="15.75" customHeight="1">
      <c r="M183" s="4"/>
      <c r="N183" s="5"/>
      <c r="S183" s="4"/>
      <c r="T183" s="5"/>
    </row>
    <row r="184" ht="15.75" customHeight="1">
      <c r="M184" s="4"/>
      <c r="N184" s="5"/>
      <c r="S184" s="4"/>
      <c r="T184" s="5"/>
    </row>
    <row r="185" ht="15.75" customHeight="1">
      <c r="M185" s="4"/>
      <c r="N185" s="5"/>
      <c r="S185" s="4"/>
      <c r="T185" s="5"/>
    </row>
    <row r="186" ht="15.75" customHeight="1">
      <c r="M186" s="4"/>
      <c r="N186" s="5"/>
      <c r="S186" s="4"/>
      <c r="T186" s="5"/>
    </row>
    <row r="187" ht="15.75" customHeight="1">
      <c r="M187" s="4"/>
      <c r="N187" s="5"/>
      <c r="S187" s="4"/>
      <c r="T187" s="5"/>
    </row>
    <row r="188" ht="15.75" customHeight="1">
      <c r="M188" s="4"/>
      <c r="N188" s="5"/>
      <c r="S188" s="4"/>
      <c r="T188" s="5"/>
    </row>
    <row r="189" ht="15.75" customHeight="1">
      <c r="M189" s="4"/>
      <c r="N189" s="5"/>
      <c r="S189" s="4"/>
      <c r="T189" s="5"/>
    </row>
    <row r="190" ht="15.75" customHeight="1">
      <c r="M190" s="4"/>
      <c r="N190" s="5"/>
      <c r="S190" s="4"/>
      <c r="T190" s="5"/>
    </row>
    <row r="191" ht="15.75" customHeight="1">
      <c r="M191" s="4"/>
      <c r="N191" s="5"/>
      <c r="S191" s="4"/>
      <c r="T191" s="5"/>
    </row>
    <row r="192" ht="15.75" customHeight="1">
      <c r="M192" s="4"/>
      <c r="N192" s="5"/>
      <c r="S192" s="4"/>
      <c r="T192" s="5"/>
    </row>
    <row r="193" ht="15.75" customHeight="1">
      <c r="M193" s="4"/>
      <c r="N193" s="5"/>
      <c r="S193" s="4"/>
      <c r="T193" s="5"/>
    </row>
    <row r="194" ht="15.75" customHeight="1">
      <c r="M194" s="4"/>
      <c r="N194" s="5"/>
      <c r="S194" s="4"/>
      <c r="T194" s="5"/>
    </row>
    <row r="195" ht="15.75" customHeight="1">
      <c r="M195" s="4"/>
      <c r="N195" s="5"/>
      <c r="S195" s="4"/>
      <c r="T195" s="5"/>
    </row>
    <row r="196" ht="15.75" customHeight="1">
      <c r="M196" s="4"/>
      <c r="N196" s="5"/>
      <c r="S196" s="4"/>
      <c r="T196" s="5"/>
    </row>
    <row r="197" ht="15.75" customHeight="1">
      <c r="M197" s="4"/>
      <c r="N197" s="5"/>
      <c r="S197" s="4"/>
      <c r="T197" s="5"/>
    </row>
    <row r="198" ht="15.75" customHeight="1">
      <c r="M198" s="4"/>
      <c r="N198" s="5"/>
      <c r="S198" s="4"/>
      <c r="T198" s="5"/>
    </row>
    <row r="199" ht="15.75" customHeight="1">
      <c r="M199" s="4"/>
      <c r="N199" s="5"/>
      <c r="S199" s="4"/>
      <c r="T199" s="5"/>
    </row>
    <row r="200" ht="15.75" customHeight="1">
      <c r="M200" s="4"/>
      <c r="N200" s="5"/>
      <c r="S200" s="4"/>
      <c r="T200" s="5"/>
    </row>
    <row r="201" ht="15.75" customHeight="1">
      <c r="M201" s="4"/>
      <c r="N201" s="5"/>
      <c r="S201" s="4"/>
      <c r="T201" s="5"/>
    </row>
    <row r="202" ht="15.75" customHeight="1">
      <c r="M202" s="4"/>
      <c r="N202" s="5"/>
      <c r="S202" s="4"/>
      <c r="T202" s="5"/>
    </row>
    <row r="203" ht="15.75" customHeight="1">
      <c r="M203" s="4"/>
      <c r="N203" s="5"/>
      <c r="S203" s="4"/>
      <c r="T203" s="5"/>
    </row>
    <row r="204" ht="15.75" customHeight="1">
      <c r="M204" s="4"/>
      <c r="N204" s="5"/>
      <c r="S204" s="4"/>
      <c r="T204" s="5"/>
    </row>
    <row r="205" ht="15.75" customHeight="1">
      <c r="M205" s="4"/>
      <c r="N205" s="5"/>
      <c r="S205" s="4"/>
      <c r="T205" s="5"/>
    </row>
    <row r="206" ht="15.75" customHeight="1">
      <c r="M206" s="4"/>
      <c r="N206" s="5"/>
      <c r="S206" s="4"/>
      <c r="T206" s="5"/>
    </row>
    <row r="207" ht="15.75" customHeight="1">
      <c r="M207" s="4"/>
      <c r="N207" s="5"/>
      <c r="S207" s="4"/>
      <c r="T207" s="5"/>
    </row>
    <row r="208" ht="15.75" customHeight="1">
      <c r="M208" s="4"/>
      <c r="N208" s="5"/>
      <c r="S208" s="4"/>
      <c r="T208" s="5"/>
    </row>
    <row r="209" ht="15.75" customHeight="1">
      <c r="M209" s="4"/>
      <c r="N209" s="5"/>
      <c r="S209" s="4"/>
      <c r="T209" s="5"/>
    </row>
    <row r="210" ht="15.75" customHeight="1">
      <c r="M210" s="4"/>
      <c r="N210" s="5"/>
      <c r="S210" s="4"/>
      <c r="T210" s="5"/>
    </row>
    <row r="211" ht="15.75" customHeight="1">
      <c r="M211" s="4"/>
      <c r="N211" s="5"/>
      <c r="S211" s="4"/>
      <c r="T211" s="5"/>
    </row>
    <row r="212" ht="15.75" customHeight="1">
      <c r="M212" s="4"/>
      <c r="N212" s="5"/>
      <c r="S212" s="4"/>
      <c r="T212" s="5"/>
    </row>
    <row r="213" ht="15.75" customHeight="1">
      <c r="M213" s="4"/>
      <c r="N213" s="5"/>
      <c r="S213" s="4"/>
      <c r="T213" s="5"/>
    </row>
    <row r="214" ht="15.75" customHeight="1">
      <c r="M214" s="4"/>
      <c r="N214" s="5"/>
      <c r="S214" s="4"/>
      <c r="T214" s="5"/>
    </row>
    <row r="215" ht="15.75" customHeight="1">
      <c r="M215" s="4"/>
      <c r="N215" s="5"/>
      <c r="S215" s="4"/>
      <c r="T215" s="5"/>
    </row>
    <row r="216" ht="15.75" customHeight="1">
      <c r="M216" s="4"/>
      <c r="N216" s="5"/>
      <c r="S216" s="4"/>
      <c r="T216" s="5"/>
    </row>
    <row r="217" ht="15.75" customHeight="1">
      <c r="M217" s="4"/>
      <c r="N217" s="5"/>
      <c r="S217" s="4"/>
      <c r="T217" s="5"/>
    </row>
    <row r="218" ht="15.75" customHeight="1">
      <c r="M218" s="4"/>
      <c r="N218" s="5"/>
      <c r="S218" s="4"/>
      <c r="T218" s="5"/>
    </row>
    <row r="219" ht="15.75" customHeight="1">
      <c r="M219" s="4"/>
      <c r="N219" s="5"/>
      <c r="S219" s="4"/>
      <c r="T219" s="5"/>
    </row>
    <row r="220" ht="15.75" customHeight="1">
      <c r="M220" s="4"/>
      <c r="N220" s="5"/>
      <c r="S220" s="4"/>
      <c r="T220" s="5"/>
    </row>
    <row r="221" ht="15.75" customHeight="1">
      <c r="M221" s="4"/>
      <c r="N221" s="5"/>
      <c r="S221" s="4"/>
      <c r="T221" s="5"/>
    </row>
    <row r="222" ht="15.75" customHeight="1">
      <c r="M222" s="4"/>
      <c r="N222" s="5"/>
      <c r="S222" s="4"/>
      <c r="T222" s="5"/>
    </row>
    <row r="223" ht="15.75" customHeight="1">
      <c r="M223" s="4"/>
      <c r="N223" s="5"/>
      <c r="S223" s="4"/>
      <c r="T223" s="5"/>
    </row>
    <row r="224" ht="15.75" customHeight="1">
      <c r="M224" s="4"/>
      <c r="N224" s="5"/>
      <c r="S224" s="4"/>
      <c r="T224" s="5"/>
    </row>
    <row r="225" ht="15.75" customHeight="1">
      <c r="M225" s="4"/>
      <c r="N225" s="5"/>
      <c r="S225" s="4"/>
      <c r="T225" s="5"/>
    </row>
    <row r="226" ht="15.75" customHeight="1">
      <c r="M226" s="4"/>
      <c r="N226" s="5"/>
      <c r="S226" s="4"/>
      <c r="T226" s="5"/>
    </row>
    <row r="227" ht="15.75" customHeight="1">
      <c r="M227" s="4"/>
      <c r="N227" s="5"/>
      <c r="S227" s="4"/>
      <c r="T227" s="5"/>
    </row>
    <row r="228" ht="15.75" customHeight="1">
      <c r="M228" s="4"/>
      <c r="N228" s="5"/>
      <c r="S228" s="4"/>
      <c r="T228" s="5"/>
    </row>
    <row r="229" ht="15.75" customHeight="1">
      <c r="M229" s="4"/>
      <c r="N229" s="5"/>
      <c r="S229" s="4"/>
      <c r="T229" s="5"/>
    </row>
    <row r="230" ht="15.75" customHeight="1">
      <c r="M230" s="4"/>
      <c r="N230" s="5"/>
      <c r="S230" s="4"/>
      <c r="T230" s="5"/>
    </row>
    <row r="231" ht="15.75" customHeight="1">
      <c r="M231" s="4"/>
      <c r="N231" s="5"/>
      <c r="S231" s="4"/>
      <c r="T231" s="5"/>
    </row>
    <row r="232" ht="15.75" customHeight="1">
      <c r="M232" s="4"/>
      <c r="N232" s="5"/>
      <c r="S232" s="4"/>
      <c r="T232" s="5"/>
    </row>
    <row r="233" ht="15.75" customHeight="1">
      <c r="M233" s="4"/>
      <c r="N233" s="5"/>
      <c r="S233" s="4"/>
      <c r="T233" s="5"/>
    </row>
    <row r="234" ht="15.75" customHeight="1">
      <c r="M234" s="4"/>
      <c r="N234" s="5"/>
      <c r="S234" s="4"/>
      <c r="T234" s="5"/>
    </row>
    <row r="235" ht="15.75" customHeight="1">
      <c r="M235" s="4"/>
      <c r="N235" s="5"/>
      <c r="S235" s="4"/>
      <c r="T235" s="5"/>
    </row>
    <row r="236" ht="15.75" customHeight="1">
      <c r="M236" s="4"/>
      <c r="N236" s="5"/>
      <c r="S236" s="4"/>
      <c r="T236" s="5"/>
    </row>
    <row r="237" ht="15.75" customHeight="1">
      <c r="M237" s="4"/>
      <c r="N237" s="5"/>
      <c r="S237" s="4"/>
      <c r="T237" s="5"/>
    </row>
    <row r="238" ht="15.75" customHeight="1">
      <c r="M238" s="4"/>
      <c r="N238" s="5"/>
      <c r="S238" s="4"/>
      <c r="T238" s="5"/>
    </row>
    <row r="239" ht="15.75" customHeight="1">
      <c r="M239" s="4"/>
      <c r="N239" s="5"/>
      <c r="S239" s="4"/>
      <c r="T239" s="5"/>
    </row>
    <row r="240" ht="15.75" customHeight="1">
      <c r="M240" s="4"/>
      <c r="N240" s="5"/>
      <c r="S240" s="4"/>
      <c r="T240" s="5"/>
    </row>
    <row r="241" ht="15.0" customHeight="1">
      <c r="M241" s="4"/>
      <c r="N241" s="5"/>
      <c r="S241" s="4"/>
      <c r="T241" s="5"/>
    </row>
    <row r="242" ht="30.75" customHeight="1">
      <c r="M242" s="4"/>
      <c r="N242" s="5"/>
      <c r="S242" s="4"/>
      <c r="T242" s="5"/>
    </row>
    <row r="243" ht="30.0" customHeight="1">
      <c r="M243" s="4"/>
      <c r="N243" s="5"/>
      <c r="S243" s="4"/>
      <c r="T243" s="5"/>
    </row>
    <row r="244" ht="15.75" customHeight="1">
      <c r="M244" s="4"/>
      <c r="N244" s="5"/>
      <c r="S244" s="4"/>
      <c r="T244" s="5"/>
    </row>
    <row r="245" ht="15.75" customHeight="1">
      <c r="M245" s="4"/>
      <c r="N245" s="5"/>
      <c r="S245" s="4"/>
      <c r="T245" s="5"/>
    </row>
    <row r="246" ht="15.75" customHeight="1">
      <c r="M246" s="4"/>
      <c r="N246" s="5"/>
      <c r="S246" s="4"/>
      <c r="T246" s="5"/>
    </row>
    <row r="247" ht="15.75" customHeight="1">
      <c r="M247" s="4"/>
      <c r="N247" s="5"/>
      <c r="S247" s="4"/>
      <c r="T247" s="5"/>
    </row>
    <row r="248" ht="15.75" customHeight="1">
      <c r="M248" s="4"/>
      <c r="N248" s="5"/>
      <c r="S248" s="4"/>
      <c r="T248" s="5"/>
    </row>
    <row r="249" ht="15.75" customHeight="1">
      <c r="M249" s="4"/>
      <c r="N249" s="5"/>
      <c r="S249" s="4"/>
      <c r="T249" s="5"/>
    </row>
    <row r="250" ht="15.75" customHeight="1">
      <c r="M250" s="4"/>
      <c r="N250" s="5"/>
      <c r="S250" s="4"/>
      <c r="T250" s="5"/>
    </row>
    <row r="251" ht="15.75" customHeight="1">
      <c r="M251" s="4"/>
      <c r="N251" s="5"/>
      <c r="S251" s="4"/>
      <c r="T251" s="5"/>
    </row>
    <row r="252" ht="15.75" customHeight="1">
      <c r="M252" s="4"/>
      <c r="N252" s="5"/>
      <c r="S252" s="4"/>
      <c r="T252" s="5"/>
    </row>
    <row r="253" ht="15.75" customHeight="1">
      <c r="M253" s="4"/>
      <c r="N253" s="5"/>
      <c r="S253" s="4"/>
      <c r="T253" s="5"/>
    </row>
    <row r="254" ht="15.75" customHeight="1">
      <c r="M254" s="4"/>
      <c r="N254" s="5"/>
      <c r="S254" s="4"/>
      <c r="T254" s="5"/>
    </row>
    <row r="255" ht="15.75" customHeight="1">
      <c r="M255" s="4"/>
      <c r="N255" s="5"/>
      <c r="S255" s="4"/>
      <c r="T255" s="5"/>
    </row>
    <row r="256" ht="60.75" customHeight="1">
      <c r="M256" s="4"/>
      <c r="N256" s="5"/>
      <c r="S256" s="4"/>
      <c r="T256" s="5"/>
    </row>
    <row r="257" ht="15.75" customHeight="1">
      <c r="M257" s="4"/>
      <c r="N257" s="5"/>
      <c r="S257" s="4"/>
      <c r="T257" s="5"/>
    </row>
    <row r="258" ht="15.75" customHeight="1">
      <c r="M258" s="4"/>
      <c r="N258" s="5"/>
      <c r="S258" s="4"/>
      <c r="T258" s="5"/>
    </row>
    <row r="259" ht="15.75" customHeight="1">
      <c r="M259" s="4"/>
      <c r="N259" s="5"/>
      <c r="S259" s="4"/>
      <c r="T259" s="5"/>
    </row>
    <row r="260" ht="15.75" customHeight="1">
      <c r="M260" s="4"/>
      <c r="N260" s="5"/>
      <c r="S260" s="4"/>
      <c r="T260" s="5"/>
    </row>
    <row r="261" ht="15.75" customHeight="1">
      <c r="M261" s="4"/>
      <c r="N261" s="5"/>
      <c r="S261" s="4"/>
      <c r="T261" s="5"/>
    </row>
    <row r="262" ht="15.75" customHeight="1">
      <c r="M262" s="4"/>
      <c r="N262" s="5"/>
      <c r="S262" s="4"/>
      <c r="T262" s="5"/>
    </row>
    <row r="263" ht="15.75" customHeight="1">
      <c r="M263" s="4"/>
      <c r="N263" s="5"/>
      <c r="S263" s="4"/>
      <c r="T263" s="5"/>
    </row>
    <row r="264" ht="15.75" customHeight="1">
      <c r="M264" s="4"/>
      <c r="N264" s="5"/>
      <c r="S264" s="4"/>
      <c r="T264" s="5"/>
    </row>
    <row r="265" ht="15.75" customHeight="1">
      <c r="M265" s="4"/>
      <c r="N265" s="5"/>
      <c r="S265" s="4"/>
      <c r="T265" s="5"/>
    </row>
    <row r="266" ht="15.75" customHeight="1">
      <c r="M266" s="4"/>
      <c r="N266" s="5"/>
      <c r="S266" s="4"/>
      <c r="T266" s="5"/>
    </row>
    <row r="267" ht="15.75" customHeight="1">
      <c r="M267" s="4"/>
      <c r="N267" s="5"/>
      <c r="S267" s="4"/>
      <c r="T267" s="5"/>
    </row>
    <row r="268" ht="15.75" customHeight="1">
      <c r="M268" s="4"/>
      <c r="N268" s="5"/>
      <c r="S268" s="4"/>
      <c r="T268" s="5"/>
    </row>
    <row r="269" ht="15.75" customHeight="1">
      <c r="M269" s="4"/>
      <c r="N269" s="5"/>
      <c r="S269" s="4"/>
      <c r="T269" s="5"/>
    </row>
    <row r="270" ht="15.75" customHeight="1">
      <c r="M270" s="4"/>
      <c r="N270" s="5"/>
      <c r="S270" s="4"/>
      <c r="T270" s="5"/>
    </row>
    <row r="271" ht="15.75" customHeight="1">
      <c r="M271" s="4"/>
      <c r="N271" s="5"/>
      <c r="S271" s="4"/>
      <c r="T271" s="5"/>
    </row>
    <row r="272" ht="15.75" customHeight="1">
      <c r="M272" s="4"/>
      <c r="N272" s="5"/>
      <c r="S272" s="4"/>
      <c r="T272" s="5"/>
    </row>
    <row r="273" ht="15.75" customHeight="1">
      <c r="M273" s="4"/>
      <c r="N273" s="5"/>
      <c r="S273" s="4"/>
      <c r="T273" s="5"/>
    </row>
    <row r="274" ht="15.75" customHeight="1">
      <c r="M274" s="4"/>
      <c r="N274" s="5"/>
      <c r="S274" s="4"/>
      <c r="T274" s="5"/>
    </row>
    <row r="275" ht="15.75" customHeight="1">
      <c r="M275" s="4"/>
      <c r="N275" s="5"/>
      <c r="S275" s="4"/>
      <c r="T275" s="5"/>
    </row>
    <row r="276" ht="15.75" customHeight="1">
      <c r="M276" s="4"/>
      <c r="N276" s="5"/>
      <c r="S276" s="4"/>
      <c r="T276" s="5"/>
    </row>
    <row r="277" ht="15.75" customHeight="1">
      <c r="M277" s="4"/>
      <c r="N277" s="5"/>
      <c r="S277" s="4"/>
      <c r="T277" s="5"/>
    </row>
    <row r="278" ht="15.75" customHeight="1">
      <c r="M278" s="4"/>
      <c r="N278" s="5"/>
      <c r="S278" s="4"/>
      <c r="T278" s="5"/>
    </row>
    <row r="279" ht="15.75" customHeight="1">
      <c r="M279" s="4"/>
      <c r="N279" s="5"/>
      <c r="S279" s="4"/>
      <c r="T279" s="5"/>
    </row>
    <row r="280" ht="15.75" customHeight="1">
      <c r="M280" s="4"/>
      <c r="N280" s="5"/>
      <c r="S280" s="4"/>
      <c r="T280" s="5"/>
    </row>
    <row r="281" ht="15.75" customHeight="1">
      <c r="M281" s="4"/>
      <c r="N281" s="5"/>
      <c r="S281" s="4"/>
      <c r="T281" s="5"/>
    </row>
    <row r="282" ht="15.75" customHeight="1">
      <c r="M282" s="4"/>
      <c r="N282" s="5"/>
      <c r="S282" s="4"/>
      <c r="T282" s="5"/>
    </row>
    <row r="283" ht="15.75" customHeight="1">
      <c r="M283" s="4"/>
      <c r="N283" s="5"/>
      <c r="S283" s="4"/>
      <c r="T283" s="5"/>
    </row>
    <row r="284" ht="15.75" customHeight="1">
      <c r="M284" s="4"/>
      <c r="N284" s="5"/>
      <c r="S284" s="4"/>
      <c r="T284" s="5"/>
    </row>
    <row r="285" ht="15.75" customHeight="1">
      <c r="M285" s="4"/>
      <c r="N285" s="5"/>
      <c r="S285" s="4"/>
      <c r="T285" s="5"/>
    </row>
    <row r="286" ht="15.75" customHeight="1">
      <c r="M286" s="4"/>
      <c r="N286" s="5"/>
      <c r="S286" s="4"/>
      <c r="T286" s="5"/>
    </row>
    <row r="287" ht="15.75" customHeight="1">
      <c r="M287" s="4"/>
      <c r="N287" s="5"/>
      <c r="S287" s="4"/>
      <c r="T287" s="5"/>
    </row>
    <row r="288" ht="15.75" customHeight="1">
      <c r="M288" s="4"/>
      <c r="N288" s="5"/>
      <c r="S288" s="4"/>
      <c r="T288" s="5"/>
    </row>
    <row r="289" ht="15.75" customHeight="1">
      <c r="M289" s="4"/>
      <c r="N289" s="5"/>
      <c r="S289" s="4"/>
      <c r="T289" s="5"/>
    </row>
    <row r="290" ht="15.75" customHeight="1">
      <c r="M290" s="4"/>
      <c r="N290" s="5"/>
      <c r="S290" s="4"/>
      <c r="T290" s="5"/>
    </row>
    <row r="291" ht="15.75" customHeight="1">
      <c r="M291" s="4"/>
      <c r="N291" s="5"/>
      <c r="S291" s="4"/>
      <c r="T291" s="5"/>
    </row>
    <row r="292" ht="15.75" customHeight="1">
      <c r="M292" s="4"/>
      <c r="N292" s="5"/>
      <c r="S292" s="4"/>
      <c r="T292" s="5"/>
    </row>
    <row r="293" ht="15.75" customHeight="1">
      <c r="M293" s="4"/>
      <c r="N293" s="5"/>
      <c r="S293" s="4"/>
      <c r="T293" s="5"/>
    </row>
    <row r="294" ht="15.75" customHeight="1">
      <c r="M294" s="4"/>
      <c r="N294" s="5"/>
      <c r="S294" s="4"/>
      <c r="T294" s="5"/>
    </row>
    <row r="295" ht="15.75" customHeight="1">
      <c r="M295" s="4"/>
      <c r="N295" s="5"/>
      <c r="S295" s="4"/>
      <c r="T295" s="5"/>
    </row>
    <row r="296" ht="15.75" customHeight="1">
      <c r="M296" s="4"/>
      <c r="N296" s="5"/>
      <c r="S296" s="4"/>
      <c r="T296" s="5"/>
    </row>
    <row r="297" ht="15.75" customHeight="1">
      <c r="M297" s="4"/>
      <c r="N297" s="5"/>
      <c r="S297" s="4"/>
      <c r="T297" s="5"/>
    </row>
    <row r="298" ht="15.75" customHeight="1">
      <c r="M298" s="4"/>
      <c r="N298" s="5"/>
      <c r="S298" s="4"/>
      <c r="T298" s="5"/>
    </row>
    <row r="299" ht="15.75" customHeight="1">
      <c r="M299" s="4"/>
      <c r="N299" s="5"/>
      <c r="S299" s="4"/>
      <c r="T299" s="5"/>
    </row>
    <row r="300" ht="15.75" customHeight="1">
      <c r="M300" s="4"/>
      <c r="N300" s="5"/>
      <c r="S300" s="4"/>
      <c r="T300" s="5"/>
    </row>
    <row r="301" ht="15.75" customHeight="1">
      <c r="M301" s="4"/>
      <c r="N301" s="5"/>
      <c r="S301" s="4"/>
      <c r="T301" s="5"/>
    </row>
    <row r="302" ht="15.75" customHeight="1">
      <c r="M302" s="4"/>
      <c r="N302" s="5"/>
      <c r="S302" s="4"/>
      <c r="T302" s="5"/>
    </row>
    <row r="303" ht="15.75" customHeight="1">
      <c r="M303" s="4"/>
      <c r="N303" s="5"/>
      <c r="S303" s="4"/>
      <c r="T303" s="5"/>
    </row>
    <row r="304" ht="15.75" customHeight="1">
      <c r="M304" s="4"/>
      <c r="N304" s="5"/>
      <c r="S304" s="4"/>
      <c r="T304" s="5"/>
    </row>
    <row r="305" ht="15.75" customHeight="1">
      <c r="M305" s="4"/>
      <c r="N305" s="5"/>
      <c r="S305" s="4"/>
      <c r="T305" s="5"/>
    </row>
    <row r="306" ht="15.75" customHeight="1">
      <c r="M306" s="4"/>
      <c r="N306" s="5"/>
      <c r="S306" s="4"/>
      <c r="T306" s="5"/>
    </row>
    <row r="307" ht="15.75" customHeight="1">
      <c r="M307" s="4"/>
      <c r="N307" s="5"/>
      <c r="S307" s="4"/>
      <c r="T307" s="5"/>
    </row>
    <row r="308" ht="15.75" customHeight="1">
      <c r="M308" s="4"/>
      <c r="N308" s="5"/>
      <c r="S308" s="4"/>
      <c r="T308" s="5"/>
    </row>
    <row r="309" ht="15.75" customHeight="1">
      <c r="M309" s="4"/>
      <c r="N309" s="5"/>
      <c r="S309" s="4"/>
      <c r="T309" s="5"/>
    </row>
    <row r="310" ht="15.75" customHeight="1">
      <c r="M310" s="4"/>
      <c r="N310" s="5"/>
      <c r="S310" s="4"/>
      <c r="T310" s="5"/>
    </row>
    <row r="311" ht="15.75" customHeight="1">
      <c r="M311" s="4"/>
      <c r="N311" s="5"/>
      <c r="S311" s="4"/>
      <c r="T311" s="5"/>
    </row>
    <row r="312" ht="15.75" customHeight="1">
      <c r="M312" s="4"/>
      <c r="N312" s="5"/>
      <c r="S312" s="4"/>
      <c r="T312" s="5"/>
    </row>
    <row r="313" ht="15.75" customHeight="1">
      <c r="M313" s="4"/>
      <c r="N313" s="5"/>
      <c r="S313" s="4"/>
      <c r="T313" s="5"/>
    </row>
    <row r="314" ht="15.75" customHeight="1">
      <c r="M314" s="4"/>
      <c r="N314" s="5"/>
      <c r="S314" s="4"/>
      <c r="T314" s="5"/>
    </row>
    <row r="315" ht="15.75" customHeight="1">
      <c r="M315" s="4"/>
      <c r="N315" s="5"/>
      <c r="S315" s="4"/>
      <c r="T315" s="5"/>
    </row>
    <row r="316" ht="15.75" customHeight="1">
      <c r="M316" s="4"/>
      <c r="N316" s="5"/>
      <c r="S316" s="4"/>
      <c r="T316" s="5"/>
    </row>
    <row r="317" ht="15.75" customHeight="1">
      <c r="M317" s="4"/>
      <c r="N317" s="5"/>
      <c r="S317" s="4"/>
      <c r="T317" s="5"/>
    </row>
    <row r="318" ht="15.75" customHeight="1">
      <c r="M318" s="4"/>
      <c r="N318" s="5"/>
      <c r="S318" s="4"/>
      <c r="T318" s="5"/>
    </row>
    <row r="319" ht="15.75" customHeight="1">
      <c r="M319" s="4"/>
      <c r="N319" s="5"/>
      <c r="S319" s="4"/>
      <c r="T319" s="5"/>
    </row>
    <row r="320" ht="15.75" customHeight="1">
      <c r="M320" s="4"/>
      <c r="N320" s="5"/>
      <c r="S320" s="4"/>
      <c r="T320" s="5"/>
    </row>
    <row r="321" ht="15.75" customHeight="1">
      <c r="M321" s="4"/>
      <c r="N321" s="5"/>
      <c r="S321" s="4"/>
      <c r="T321" s="5"/>
    </row>
    <row r="322" ht="15.75" customHeight="1">
      <c r="M322" s="4"/>
      <c r="N322" s="5"/>
      <c r="S322" s="4"/>
      <c r="T322" s="5"/>
    </row>
    <row r="323" ht="15.75" customHeight="1">
      <c r="M323" s="4"/>
      <c r="N323" s="5"/>
      <c r="S323" s="4"/>
      <c r="T323" s="5"/>
    </row>
    <row r="324" ht="15.75" customHeight="1">
      <c r="M324" s="4"/>
      <c r="N324" s="5"/>
      <c r="S324" s="4"/>
      <c r="T324" s="5"/>
    </row>
    <row r="325" ht="15.75" customHeight="1">
      <c r="M325" s="4"/>
      <c r="N325" s="5"/>
      <c r="S325" s="4"/>
      <c r="T325" s="5"/>
    </row>
    <row r="326" ht="15.75" customHeight="1">
      <c r="M326" s="4"/>
      <c r="N326" s="5"/>
      <c r="S326" s="4"/>
      <c r="T326" s="5"/>
    </row>
    <row r="327" ht="15.75" customHeight="1">
      <c r="M327" s="4"/>
      <c r="N327" s="5"/>
      <c r="S327" s="4"/>
      <c r="T327" s="5"/>
    </row>
    <row r="328" ht="15.75" customHeight="1">
      <c r="M328" s="4"/>
      <c r="N328" s="5"/>
      <c r="S328" s="4"/>
      <c r="T328" s="5"/>
    </row>
    <row r="329" ht="15.75" customHeight="1">
      <c r="M329" s="4"/>
      <c r="N329" s="5"/>
      <c r="S329" s="4"/>
      <c r="T329" s="5"/>
    </row>
    <row r="330" ht="15.75" customHeight="1">
      <c r="M330" s="4"/>
      <c r="N330" s="5"/>
      <c r="S330" s="4"/>
      <c r="T330" s="5"/>
    </row>
    <row r="331" ht="15.75" customHeight="1">
      <c r="M331" s="4"/>
      <c r="N331" s="5"/>
      <c r="S331" s="4"/>
      <c r="T331" s="5"/>
    </row>
    <row r="332" ht="15.75" customHeight="1">
      <c r="M332" s="4"/>
      <c r="N332" s="5"/>
      <c r="S332" s="4"/>
      <c r="T332" s="5"/>
    </row>
    <row r="333" ht="15.75" customHeight="1">
      <c r="M333" s="4"/>
      <c r="N333" s="5"/>
      <c r="S333" s="4"/>
      <c r="T333" s="5"/>
    </row>
    <row r="334" ht="15.75" customHeight="1">
      <c r="M334" s="4"/>
      <c r="N334" s="5"/>
      <c r="S334" s="4"/>
      <c r="T334" s="5"/>
    </row>
    <row r="335" ht="15.75" customHeight="1">
      <c r="M335" s="4"/>
      <c r="N335" s="5"/>
      <c r="S335" s="4"/>
      <c r="T335" s="5"/>
    </row>
    <row r="336" ht="15.75" customHeight="1">
      <c r="M336" s="4"/>
      <c r="N336" s="5"/>
      <c r="S336" s="4"/>
      <c r="T336" s="5"/>
    </row>
    <row r="337" ht="15.75" customHeight="1">
      <c r="M337" s="4"/>
      <c r="N337" s="5"/>
      <c r="S337" s="4"/>
      <c r="T337" s="5"/>
    </row>
    <row r="338" ht="15.75" customHeight="1">
      <c r="M338" s="4"/>
      <c r="N338" s="5"/>
      <c r="S338" s="4"/>
      <c r="T338" s="5"/>
    </row>
    <row r="339" ht="15.75" customHeight="1">
      <c r="M339" s="4"/>
      <c r="N339" s="5"/>
      <c r="S339" s="4"/>
      <c r="T339" s="5"/>
    </row>
    <row r="340" ht="15.75" customHeight="1">
      <c r="M340" s="4"/>
      <c r="N340" s="5"/>
      <c r="S340" s="4"/>
      <c r="T340" s="5"/>
    </row>
    <row r="341" ht="15.75" customHeight="1">
      <c r="M341" s="4"/>
      <c r="N341" s="5"/>
      <c r="S341" s="4"/>
      <c r="T341" s="5"/>
    </row>
    <row r="342" ht="15.75" customHeight="1">
      <c r="M342" s="4"/>
      <c r="N342" s="5"/>
      <c r="S342" s="4"/>
      <c r="T342" s="5"/>
    </row>
    <row r="343" ht="15.75" customHeight="1">
      <c r="M343" s="4"/>
      <c r="N343" s="5"/>
      <c r="S343" s="4"/>
      <c r="T343" s="5"/>
    </row>
    <row r="344" ht="15.75" customHeight="1">
      <c r="M344" s="4"/>
      <c r="N344" s="5"/>
      <c r="S344" s="4"/>
      <c r="T344" s="5"/>
    </row>
    <row r="345" ht="15.75" customHeight="1">
      <c r="M345" s="4"/>
      <c r="N345" s="5"/>
      <c r="S345" s="4"/>
      <c r="T345" s="5"/>
    </row>
    <row r="346" ht="15.75" customHeight="1">
      <c r="M346" s="4"/>
      <c r="N346" s="5"/>
      <c r="S346" s="4"/>
      <c r="T346" s="5"/>
    </row>
    <row r="347" ht="15.75" customHeight="1">
      <c r="M347" s="4"/>
      <c r="N347" s="5"/>
      <c r="S347" s="4"/>
      <c r="T347" s="5"/>
    </row>
    <row r="348" ht="15.75" customHeight="1">
      <c r="M348" s="4"/>
      <c r="N348" s="5"/>
      <c r="S348" s="4"/>
      <c r="T348" s="5"/>
    </row>
    <row r="349" ht="15.75" customHeight="1">
      <c r="M349" s="4"/>
      <c r="N349" s="5"/>
      <c r="S349" s="4"/>
      <c r="T349" s="5"/>
    </row>
    <row r="350" ht="15.75" customHeight="1">
      <c r="M350" s="4"/>
      <c r="N350" s="5"/>
      <c r="S350" s="4"/>
      <c r="T350" s="5"/>
    </row>
    <row r="351" ht="15.75" customHeight="1">
      <c r="M351" s="4"/>
      <c r="N351" s="5"/>
      <c r="S351" s="4"/>
      <c r="T351" s="5"/>
    </row>
    <row r="352" ht="15.75" customHeight="1">
      <c r="M352" s="4"/>
      <c r="N352" s="5"/>
      <c r="S352" s="4"/>
      <c r="T352" s="5"/>
    </row>
    <row r="353" ht="15.75" customHeight="1">
      <c r="M353" s="4"/>
      <c r="N353" s="5"/>
      <c r="S353" s="4"/>
      <c r="T353" s="5"/>
    </row>
    <row r="354" ht="15.75" customHeight="1">
      <c r="M354" s="4"/>
      <c r="N354" s="5"/>
      <c r="S354" s="4"/>
      <c r="T354" s="5"/>
    </row>
    <row r="355" ht="15.75" customHeight="1">
      <c r="M355" s="4"/>
      <c r="N355" s="5"/>
      <c r="S355" s="4"/>
      <c r="T355" s="5"/>
    </row>
    <row r="356" ht="15.75" customHeight="1">
      <c r="M356" s="4"/>
      <c r="N356" s="5"/>
      <c r="S356" s="4"/>
      <c r="T356" s="5"/>
    </row>
    <row r="357" ht="15.75" customHeight="1">
      <c r="M357" s="4"/>
      <c r="N357" s="5"/>
      <c r="S357" s="4"/>
      <c r="T357" s="5"/>
    </row>
    <row r="358" ht="15.75" customHeight="1">
      <c r="M358" s="4"/>
      <c r="N358" s="5"/>
      <c r="S358" s="4"/>
      <c r="T358" s="5"/>
    </row>
    <row r="359" ht="15.75" customHeight="1">
      <c r="M359" s="4"/>
      <c r="N359" s="5"/>
      <c r="S359" s="4"/>
      <c r="T359" s="5"/>
    </row>
    <row r="360" ht="15.75" customHeight="1">
      <c r="M360" s="4"/>
      <c r="N360" s="5"/>
      <c r="S360" s="4"/>
      <c r="T360" s="5"/>
    </row>
    <row r="361" ht="15.75" customHeight="1">
      <c r="M361" s="4"/>
      <c r="N361" s="5"/>
      <c r="S361" s="4"/>
      <c r="T361" s="5"/>
    </row>
    <row r="362" ht="15.75" customHeight="1">
      <c r="M362" s="4"/>
      <c r="N362" s="5"/>
      <c r="S362" s="4"/>
      <c r="T362" s="5"/>
    </row>
    <row r="363" ht="15.75" customHeight="1">
      <c r="M363" s="4"/>
      <c r="N363" s="5"/>
      <c r="S363" s="4"/>
      <c r="T363" s="5"/>
    </row>
    <row r="364" ht="15.75" customHeight="1">
      <c r="M364" s="4"/>
      <c r="N364" s="5"/>
      <c r="S364" s="4"/>
      <c r="T364" s="5"/>
    </row>
    <row r="365" ht="15.75" customHeight="1">
      <c r="M365" s="4"/>
      <c r="N365" s="5"/>
      <c r="S365" s="4"/>
      <c r="T365" s="5"/>
    </row>
    <row r="366" ht="15.75" customHeight="1">
      <c r="M366" s="4"/>
      <c r="N366" s="5"/>
      <c r="S366" s="4"/>
      <c r="T366" s="5"/>
    </row>
    <row r="367" ht="15.75" customHeight="1">
      <c r="M367" s="4"/>
      <c r="N367" s="5"/>
      <c r="S367" s="4"/>
      <c r="T367" s="5"/>
    </row>
    <row r="368" ht="15.75" customHeight="1">
      <c r="M368" s="4"/>
      <c r="N368" s="5"/>
      <c r="S368" s="4"/>
      <c r="T368" s="5"/>
    </row>
    <row r="369" ht="15.75" customHeight="1">
      <c r="M369" s="4"/>
      <c r="N369" s="5"/>
      <c r="S369" s="4"/>
      <c r="T369" s="5"/>
    </row>
    <row r="370" ht="15.75" customHeight="1">
      <c r="M370" s="4"/>
      <c r="N370" s="5"/>
      <c r="S370" s="4"/>
      <c r="T370" s="5"/>
    </row>
    <row r="371" ht="15.75" customHeight="1">
      <c r="M371" s="4"/>
      <c r="N371" s="5"/>
      <c r="S371" s="4"/>
      <c r="T371" s="5"/>
    </row>
    <row r="372" ht="15.75" customHeight="1">
      <c r="M372" s="4"/>
      <c r="N372" s="5"/>
      <c r="S372" s="4"/>
      <c r="T372" s="5"/>
    </row>
    <row r="373" ht="15.75" customHeight="1">
      <c r="M373" s="4"/>
      <c r="N373" s="5"/>
      <c r="S373" s="4"/>
      <c r="T373" s="5"/>
    </row>
    <row r="374" ht="15.75" customHeight="1">
      <c r="M374" s="4"/>
      <c r="N374" s="5"/>
      <c r="S374" s="4"/>
      <c r="T374" s="5"/>
    </row>
    <row r="375" ht="15.75" customHeight="1">
      <c r="M375" s="4"/>
      <c r="N375" s="5"/>
      <c r="S375" s="4"/>
      <c r="T375" s="5"/>
    </row>
    <row r="376" ht="15.75" customHeight="1">
      <c r="M376" s="4"/>
      <c r="N376" s="5"/>
      <c r="S376" s="4"/>
      <c r="T376" s="5"/>
    </row>
    <row r="377" ht="15.75" customHeight="1">
      <c r="M377" s="4"/>
      <c r="N377" s="5"/>
      <c r="S377" s="4"/>
      <c r="T377" s="5"/>
    </row>
    <row r="378" ht="15.75" customHeight="1">
      <c r="M378" s="4"/>
      <c r="N378" s="5"/>
      <c r="S378" s="4"/>
      <c r="T378" s="5"/>
    </row>
    <row r="379" ht="15.75" customHeight="1">
      <c r="M379" s="4"/>
      <c r="N379" s="5"/>
      <c r="S379" s="4"/>
      <c r="T379" s="5"/>
    </row>
    <row r="380" ht="15.75" customHeight="1">
      <c r="M380" s="4"/>
      <c r="N380" s="5"/>
      <c r="S380" s="4"/>
      <c r="T380" s="5"/>
    </row>
    <row r="381" ht="15.75" customHeight="1">
      <c r="M381" s="4"/>
      <c r="N381" s="5"/>
      <c r="S381" s="4"/>
      <c r="T381" s="5"/>
    </row>
    <row r="382" ht="15.75" customHeight="1">
      <c r="M382" s="4"/>
      <c r="N382" s="5"/>
      <c r="S382" s="4"/>
      <c r="T382" s="5"/>
    </row>
    <row r="383" ht="15.75" customHeight="1">
      <c r="M383" s="4"/>
      <c r="N383" s="5"/>
      <c r="S383" s="4"/>
      <c r="T383" s="5"/>
    </row>
    <row r="384" ht="15.75" customHeight="1">
      <c r="M384" s="4"/>
      <c r="N384" s="5"/>
      <c r="S384" s="4"/>
      <c r="T384" s="5"/>
    </row>
    <row r="385" ht="15.75" customHeight="1">
      <c r="M385" s="4"/>
      <c r="N385" s="5"/>
      <c r="S385" s="4"/>
      <c r="T385" s="5"/>
    </row>
    <row r="386" ht="15.75" customHeight="1">
      <c r="M386" s="4"/>
      <c r="N386" s="5"/>
      <c r="S386" s="4"/>
      <c r="T386" s="5"/>
    </row>
    <row r="387" ht="15.75" customHeight="1">
      <c r="M387" s="4"/>
      <c r="N387" s="5"/>
      <c r="S387" s="4"/>
      <c r="T387" s="5"/>
    </row>
    <row r="388" ht="15.75" customHeight="1">
      <c r="M388" s="4"/>
      <c r="N388" s="5"/>
      <c r="S388" s="4"/>
      <c r="T388" s="5"/>
    </row>
    <row r="389" ht="15.75" customHeight="1">
      <c r="M389" s="4"/>
      <c r="N389" s="5"/>
      <c r="S389" s="4"/>
      <c r="T389" s="5"/>
    </row>
    <row r="390" ht="15.75" customHeight="1">
      <c r="M390" s="4"/>
      <c r="N390" s="5"/>
      <c r="S390" s="4"/>
      <c r="T390" s="5"/>
    </row>
    <row r="391" ht="15.75" customHeight="1">
      <c r="M391" s="4"/>
      <c r="N391" s="5"/>
      <c r="S391" s="4"/>
      <c r="T391" s="5"/>
    </row>
    <row r="392" ht="15.75" customHeight="1">
      <c r="M392" s="4"/>
      <c r="N392" s="5"/>
      <c r="S392" s="4"/>
      <c r="T392" s="5"/>
    </row>
    <row r="393" ht="15.75" customHeight="1">
      <c r="M393" s="4"/>
      <c r="N393" s="5"/>
      <c r="S393" s="4"/>
      <c r="T393" s="5"/>
    </row>
    <row r="394" ht="15.75" customHeight="1">
      <c r="M394" s="4"/>
      <c r="N394" s="5"/>
      <c r="S394" s="4"/>
      <c r="T394" s="5"/>
    </row>
    <row r="395" ht="15.75" customHeight="1">
      <c r="M395" s="4"/>
      <c r="N395" s="5"/>
      <c r="S395" s="4"/>
      <c r="T395" s="5"/>
    </row>
    <row r="396" ht="15.75" customHeight="1">
      <c r="M396" s="4"/>
      <c r="N396" s="5"/>
      <c r="S396" s="4"/>
      <c r="T396" s="5"/>
    </row>
    <row r="397" ht="15.75" customHeight="1">
      <c r="M397" s="4"/>
      <c r="N397" s="5"/>
      <c r="S397" s="4"/>
      <c r="T397" s="5"/>
    </row>
    <row r="398" ht="15.75" customHeight="1">
      <c r="M398" s="4"/>
      <c r="N398" s="5"/>
      <c r="S398" s="4"/>
      <c r="T398" s="5"/>
    </row>
    <row r="399" ht="15.75" customHeight="1">
      <c r="M399" s="4"/>
      <c r="N399" s="5"/>
      <c r="S399" s="4"/>
      <c r="T399" s="5"/>
    </row>
    <row r="400" ht="15.75" customHeight="1">
      <c r="M400" s="4"/>
      <c r="N400" s="5"/>
      <c r="S400" s="4"/>
      <c r="T400" s="5"/>
    </row>
    <row r="401" ht="15.75" customHeight="1">
      <c r="M401" s="4"/>
      <c r="N401" s="5"/>
      <c r="S401" s="4"/>
      <c r="T401" s="5"/>
    </row>
    <row r="402" ht="15.75" customHeight="1">
      <c r="M402" s="4"/>
      <c r="N402" s="5"/>
      <c r="S402" s="4"/>
      <c r="T402" s="5"/>
    </row>
    <row r="403" ht="15.75" customHeight="1">
      <c r="M403" s="4"/>
      <c r="N403" s="5"/>
      <c r="S403" s="4"/>
      <c r="T403" s="5"/>
    </row>
    <row r="404" ht="15.75" customHeight="1">
      <c r="M404" s="4"/>
      <c r="N404" s="5"/>
      <c r="S404" s="4"/>
      <c r="T404" s="5"/>
    </row>
    <row r="405" ht="15.75" customHeight="1">
      <c r="M405" s="4"/>
      <c r="N405" s="5"/>
      <c r="S405" s="4"/>
      <c r="T405" s="5"/>
    </row>
    <row r="406" ht="15.75" customHeight="1">
      <c r="M406" s="4"/>
      <c r="N406" s="5"/>
      <c r="S406" s="4"/>
      <c r="T406" s="5"/>
    </row>
    <row r="407" ht="15.75" customHeight="1">
      <c r="M407" s="4"/>
      <c r="N407" s="5"/>
      <c r="S407" s="4"/>
      <c r="T407" s="5"/>
    </row>
    <row r="408" ht="15.75" customHeight="1">
      <c r="M408" s="4"/>
      <c r="N408" s="5"/>
      <c r="S408" s="4"/>
      <c r="T408" s="5"/>
    </row>
    <row r="409" ht="15.75" customHeight="1">
      <c r="M409" s="4"/>
      <c r="N409" s="5"/>
      <c r="S409" s="4"/>
      <c r="T409" s="5"/>
    </row>
    <row r="410" ht="15.75" customHeight="1">
      <c r="M410" s="4"/>
      <c r="N410" s="5"/>
      <c r="S410" s="4"/>
      <c r="T410" s="5"/>
    </row>
    <row r="411" ht="15.75" customHeight="1">
      <c r="M411" s="4"/>
      <c r="N411" s="5"/>
      <c r="S411" s="4"/>
      <c r="T411" s="5"/>
    </row>
    <row r="412" ht="15.75" customHeight="1">
      <c r="M412" s="4"/>
      <c r="N412" s="5"/>
      <c r="S412" s="4"/>
      <c r="T412" s="5"/>
    </row>
    <row r="413" ht="15.75" customHeight="1">
      <c r="M413" s="4"/>
      <c r="N413" s="5"/>
      <c r="S413" s="4"/>
      <c r="T413" s="5"/>
    </row>
    <row r="414" ht="15.75" customHeight="1">
      <c r="M414" s="4"/>
      <c r="N414" s="5"/>
      <c r="S414" s="4"/>
      <c r="T414" s="5"/>
    </row>
    <row r="415" ht="15.75" customHeight="1">
      <c r="M415" s="4"/>
      <c r="N415" s="5"/>
      <c r="S415" s="4"/>
      <c r="T415" s="5"/>
    </row>
    <row r="416" ht="15.75" customHeight="1">
      <c r="M416" s="4"/>
      <c r="N416" s="5"/>
      <c r="S416" s="4"/>
      <c r="T416" s="5"/>
    </row>
    <row r="417" ht="15.75" customHeight="1">
      <c r="M417" s="4"/>
      <c r="N417" s="5"/>
      <c r="S417" s="4"/>
      <c r="T417" s="5"/>
    </row>
    <row r="418" ht="15.75" customHeight="1">
      <c r="M418" s="4"/>
      <c r="N418" s="5"/>
      <c r="S418" s="4"/>
      <c r="T418" s="5"/>
    </row>
    <row r="419" ht="15.75" customHeight="1">
      <c r="M419" s="4"/>
      <c r="N419" s="5"/>
      <c r="S419" s="4"/>
      <c r="T419" s="5"/>
    </row>
    <row r="420" ht="15.75" customHeight="1">
      <c r="M420" s="4"/>
      <c r="N420" s="5"/>
      <c r="S420" s="4"/>
      <c r="T420" s="5"/>
    </row>
    <row r="421" ht="15.75" customHeight="1">
      <c r="M421" s="4"/>
      <c r="N421" s="5"/>
      <c r="S421" s="4"/>
      <c r="T421" s="5"/>
    </row>
    <row r="422" ht="15.75" customHeight="1">
      <c r="M422" s="4"/>
      <c r="N422" s="5"/>
      <c r="S422" s="4"/>
      <c r="T422" s="5"/>
    </row>
    <row r="423" ht="15.75" customHeight="1">
      <c r="M423" s="4"/>
      <c r="N423" s="5"/>
      <c r="S423" s="4"/>
      <c r="T423" s="5"/>
    </row>
    <row r="424" ht="15.75" customHeight="1">
      <c r="M424" s="4"/>
      <c r="N424" s="5"/>
      <c r="S424" s="4"/>
      <c r="T424" s="5"/>
    </row>
    <row r="425" ht="15.75" customHeight="1">
      <c r="M425" s="4"/>
      <c r="N425" s="5"/>
      <c r="S425" s="4"/>
      <c r="T425" s="5"/>
    </row>
    <row r="426" ht="15.75" customHeight="1">
      <c r="M426" s="4"/>
      <c r="N426" s="5"/>
      <c r="S426" s="4"/>
      <c r="T426" s="5"/>
    </row>
    <row r="427" ht="15.75" customHeight="1">
      <c r="M427" s="4"/>
      <c r="N427" s="5"/>
      <c r="S427" s="4"/>
      <c r="T427" s="5"/>
    </row>
    <row r="428" ht="15.75" customHeight="1">
      <c r="M428" s="4"/>
      <c r="N428" s="5"/>
      <c r="S428" s="4"/>
      <c r="T428" s="5"/>
    </row>
    <row r="429" ht="15.75" customHeight="1">
      <c r="M429" s="4"/>
      <c r="N429" s="5"/>
      <c r="S429" s="4"/>
      <c r="T429" s="5"/>
    </row>
    <row r="430" ht="15.75" customHeight="1">
      <c r="M430" s="4"/>
      <c r="N430" s="5"/>
      <c r="S430" s="4"/>
      <c r="T430" s="5"/>
    </row>
    <row r="431" ht="15.75" customHeight="1">
      <c r="M431" s="4"/>
      <c r="N431" s="5"/>
      <c r="S431" s="4"/>
      <c r="T431" s="5"/>
    </row>
    <row r="432" ht="15.75" customHeight="1">
      <c r="M432" s="4"/>
      <c r="N432" s="5"/>
      <c r="S432" s="4"/>
      <c r="T432" s="5"/>
    </row>
    <row r="433" ht="15.75" customHeight="1">
      <c r="M433" s="4"/>
      <c r="N433" s="5"/>
      <c r="S433" s="4"/>
      <c r="T433" s="5"/>
    </row>
    <row r="434" ht="15.75" customHeight="1">
      <c r="M434" s="4"/>
      <c r="N434" s="5"/>
      <c r="S434" s="4"/>
      <c r="T434" s="5"/>
    </row>
    <row r="435" ht="15.75" customHeight="1">
      <c r="M435" s="4"/>
      <c r="N435" s="5"/>
      <c r="S435" s="4"/>
      <c r="T435" s="5"/>
    </row>
    <row r="436" ht="15.75" customHeight="1">
      <c r="M436" s="4"/>
      <c r="N436" s="5"/>
      <c r="S436" s="4"/>
      <c r="T436" s="5"/>
    </row>
    <row r="437" ht="15.75" customHeight="1">
      <c r="M437" s="4"/>
      <c r="N437" s="5"/>
      <c r="S437" s="4"/>
      <c r="T437" s="5"/>
    </row>
    <row r="438" ht="15.75" customHeight="1">
      <c r="M438" s="4"/>
      <c r="N438" s="5"/>
      <c r="S438" s="4"/>
      <c r="T438" s="5"/>
    </row>
    <row r="439" ht="15.75" customHeight="1">
      <c r="M439" s="4"/>
      <c r="N439" s="5"/>
      <c r="S439" s="4"/>
      <c r="T439" s="5"/>
    </row>
    <row r="440" ht="15.75" customHeight="1">
      <c r="M440" s="4"/>
      <c r="N440" s="5"/>
      <c r="S440" s="4"/>
      <c r="T440" s="5"/>
    </row>
    <row r="441" ht="15.75" customHeight="1">
      <c r="M441" s="4"/>
      <c r="N441" s="5"/>
      <c r="S441" s="4"/>
      <c r="T441" s="5"/>
    </row>
    <row r="442" ht="15.75" customHeight="1">
      <c r="M442" s="4"/>
      <c r="N442" s="5"/>
      <c r="S442" s="4"/>
      <c r="T442" s="5"/>
    </row>
    <row r="443" ht="15.75" customHeight="1">
      <c r="M443" s="4"/>
      <c r="N443" s="5"/>
      <c r="S443" s="4"/>
      <c r="T443" s="5"/>
    </row>
    <row r="444" ht="15.75" customHeight="1">
      <c r="M444" s="4"/>
      <c r="N444" s="5"/>
      <c r="S444" s="4"/>
      <c r="T444" s="5"/>
    </row>
    <row r="445" ht="15.75" customHeight="1">
      <c r="M445" s="4"/>
      <c r="N445" s="5"/>
      <c r="S445" s="4"/>
      <c r="T445" s="5"/>
    </row>
    <row r="446" ht="15.75" customHeight="1">
      <c r="M446" s="4"/>
      <c r="N446" s="5"/>
      <c r="S446" s="4"/>
      <c r="T446" s="5"/>
    </row>
    <row r="447" ht="15.75" customHeight="1">
      <c r="M447" s="4"/>
      <c r="N447" s="5"/>
      <c r="S447" s="4"/>
      <c r="T447" s="5"/>
    </row>
    <row r="448" ht="15.75" customHeight="1">
      <c r="M448" s="4"/>
      <c r="N448" s="5"/>
      <c r="S448" s="4"/>
      <c r="T448" s="5"/>
    </row>
    <row r="449" ht="15.75" customHeight="1">
      <c r="M449" s="4"/>
      <c r="N449" s="5"/>
      <c r="S449" s="4"/>
      <c r="T449" s="5"/>
    </row>
    <row r="450" ht="15.75" customHeight="1">
      <c r="M450" s="4"/>
      <c r="N450" s="5"/>
      <c r="S450" s="4"/>
      <c r="T450" s="5"/>
    </row>
    <row r="451" ht="15.75" customHeight="1">
      <c r="M451" s="4"/>
      <c r="N451" s="5"/>
      <c r="S451" s="4"/>
      <c r="T451" s="5"/>
    </row>
    <row r="452" ht="15.75" customHeight="1">
      <c r="M452" s="4"/>
      <c r="N452" s="5"/>
      <c r="S452" s="4"/>
      <c r="T452" s="5"/>
    </row>
    <row r="453" ht="15.75" customHeight="1">
      <c r="M453" s="4"/>
      <c r="N453" s="5"/>
      <c r="S453" s="4"/>
      <c r="T453" s="5"/>
    </row>
    <row r="454" ht="15.75" customHeight="1">
      <c r="M454" s="4"/>
      <c r="N454" s="5"/>
      <c r="S454" s="4"/>
      <c r="T454" s="5"/>
    </row>
    <row r="455" ht="15.75" customHeight="1">
      <c r="M455" s="4"/>
      <c r="N455" s="5"/>
      <c r="S455" s="4"/>
      <c r="T455" s="5"/>
    </row>
    <row r="456" ht="15.75" customHeight="1">
      <c r="M456" s="4"/>
      <c r="N456" s="5"/>
      <c r="S456" s="4"/>
      <c r="T456" s="5"/>
    </row>
    <row r="457" ht="15.75" customHeight="1">
      <c r="M457" s="4"/>
      <c r="N457" s="5"/>
      <c r="S457" s="4"/>
      <c r="T457" s="5"/>
    </row>
    <row r="458" ht="15.75" customHeight="1">
      <c r="M458" s="4"/>
      <c r="N458" s="5"/>
      <c r="S458" s="4"/>
      <c r="T458" s="5"/>
    </row>
    <row r="459" ht="15.75" customHeight="1">
      <c r="M459" s="4"/>
      <c r="N459" s="5"/>
      <c r="S459" s="4"/>
      <c r="T459" s="5"/>
    </row>
    <row r="460" ht="15.75" customHeight="1">
      <c r="M460" s="4"/>
      <c r="N460" s="5"/>
      <c r="S460" s="4"/>
      <c r="T460" s="5"/>
    </row>
    <row r="461" ht="15.75" customHeight="1">
      <c r="M461" s="4"/>
      <c r="N461" s="5"/>
      <c r="S461" s="4"/>
      <c r="T461" s="5"/>
    </row>
    <row r="462" ht="15.75" customHeight="1">
      <c r="M462" s="4"/>
      <c r="N462" s="5"/>
      <c r="S462" s="4"/>
      <c r="T462" s="5"/>
    </row>
    <row r="463" ht="15.75" customHeight="1">
      <c r="M463" s="4"/>
      <c r="N463" s="5"/>
      <c r="S463" s="4"/>
      <c r="T463" s="5"/>
    </row>
    <row r="464" ht="15.75" customHeight="1">
      <c r="M464" s="4"/>
      <c r="N464" s="5"/>
      <c r="S464" s="4"/>
      <c r="T464" s="5"/>
    </row>
    <row r="465" ht="15.75" customHeight="1">
      <c r="M465" s="4"/>
      <c r="N465" s="5"/>
      <c r="S465" s="4"/>
      <c r="T465" s="5"/>
    </row>
    <row r="466" ht="15.75" customHeight="1">
      <c r="M466" s="4"/>
      <c r="N466" s="5"/>
      <c r="S466" s="4"/>
      <c r="T466" s="5"/>
    </row>
    <row r="467" ht="15.75" customHeight="1">
      <c r="M467" s="4"/>
      <c r="N467" s="5"/>
      <c r="S467" s="4"/>
      <c r="T467" s="5"/>
    </row>
    <row r="468" ht="15.75" customHeight="1">
      <c r="M468" s="4"/>
      <c r="N468" s="5"/>
      <c r="S468" s="4"/>
      <c r="T468" s="5"/>
    </row>
    <row r="469" ht="15.75" customHeight="1">
      <c r="M469" s="4"/>
      <c r="N469" s="5"/>
      <c r="S469" s="4"/>
      <c r="T469" s="5"/>
    </row>
    <row r="470" ht="15.75" customHeight="1">
      <c r="M470" s="4"/>
      <c r="N470" s="5"/>
      <c r="S470" s="4"/>
      <c r="T470" s="5"/>
    </row>
    <row r="471" ht="15.75" customHeight="1">
      <c r="M471" s="4"/>
      <c r="N471" s="5"/>
      <c r="S471" s="4"/>
      <c r="T471" s="5"/>
    </row>
    <row r="472" ht="15.75" customHeight="1">
      <c r="M472" s="4"/>
      <c r="N472" s="5"/>
      <c r="S472" s="4"/>
      <c r="T472" s="5"/>
    </row>
    <row r="473" ht="15.75" customHeight="1">
      <c r="M473" s="4"/>
      <c r="N473" s="5"/>
      <c r="S473" s="4"/>
      <c r="T473" s="5"/>
    </row>
    <row r="474" ht="15.75" customHeight="1">
      <c r="M474" s="4"/>
      <c r="N474" s="5"/>
      <c r="S474" s="4"/>
      <c r="T474" s="5"/>
    </row>
    <row r="475" ht="15.75" customHeight="1">
      <c r="M475" s="4"/>
      <c r="N475" s="5"/>
      <c r="S475" s="4"/>
      <c r="T475" s="5"/>
    </row>
    <row r="476" ht="15.75" customHeight="1">
      <c r="M476" s="4"/>
      <c r="N476" s="5"/>
      <c r="S476" s="4"/>
      <c r="T476" s="5"/>
    </row>
    <row r="477" ht="15.75" customHeight="1">
      <c r="M477" s="4"/>
      <c r="N477" s="5"/>
      <c r="S477" s="4"/>
      <c r="T477" s="5"/>
    </row>
    <row r="478" ht="15.75" customHeight="1">
      <c r="M478" s="4"/>
      <c r="N478" s="5"/>
      <c r="S478" s="4"/>
      <c r="T478" s="5"/>
    </row>
    <row r="479" ht="15.75" customHeight="1">
      <c r="M479" s="4"/>
      <c r="N479" s="5"/>
      <c r="S479" s="4"/>
      <c r="T479" s="5"/>
    </row>
    <row r="480" ht="15.75" customHeight="1">
      <c r="M480" s="4"/>
      <c r="N480" s="5"/>
      <c r="S480" s="4"/>
      <c r="T480" s="5"/>
    </row>
    <row r="481" ht="15.75" customHeight="1">
      <c r="M481" s="4"/>
      <c r="N481" s="5"/>
      <c r="S481" s="4"/>
      <c r="T481" s="5"/>
    </row>
    <row r="482" ht="15.75" customHeight="1">
      <c r="M482" s="4"/>
      <c r="N482" s="5"/>
      <c r="S482" s="4"/>
      <c r="T482" s="5"/>
    </row>
    <row r="483" ht="15.75" customHeight="1">
      <c r="M483" s="4"/>
      <c r="N483" s="5"/>
      <c r="S483" s="4"/>
      <c r="T483" s="5"/>
    </row>
    <row r="484" ht="15.75" customHeight="1">
      <c r="M484" s="4"/>
      <c r="N484" s="5"/>
      <c r="S484" s="4"/>
      <c r="T484" s="5"/>
    </row>
    <row r="485" ht="15.75" customHeight="1">
      <c r="M485" s="4"/>
      <c r="N485" s="5"/>
      <c r="S485" s="4"/>
      <c r="T485" s="5"/>
    </row>
    <row r="486" ht="15.75" customHeight="1">
      <c r="M486" s="4"/>
      <c r="N486" s="5"/>
      <c r="S486" s="4"/>
      <c r="T486" s="5"/>
    </row>
    <row r="487" ht="15.75" customHeight="1">
      <c r="M487" s="4"/>
      <c r="N487" s="5"/>
      <c r="S487" s="4"/>
      <c r="T487" s="5"/>
    </row>
    <row r="488" ht="15.75" customHeight="1">
      <c r="M488" s="4"/>
      <c r="N488" s="5"/>
      <c r="S488" s="4"/>
      <c r="T488" s="5"/>
    </row>
    <row r="489" ht="15.75" customHeight="1">
      <c r="M489" s="4"/>
      <c r="N489" s="5"/>
      <c r="S489" s="4"/>
      <c r="T489" s="5"/>
    </row>
    <row r="490" ht="15.75" customHeight="1">
      <c r="M490" s="4"/>
      <c r="N490" s="5"/>
      <c r="S490" s="4"/>
      <c r="T490" s="5"/>
    </row>
    <row r="491" ht="15.75" customHeight="1">
      <c r="M491" s="4"/>
      <c r="N491" s="5"/>
      <c r="S491" s="4"/>
      <c r="T491" s="5"/>
    </row>
    <row r="492" ht="15.75" customHeight="1">
      <c r="M492" s="4"/>
      <c r="N492" s="5"/>
      <c r="S492" s="4"/>
      <c r="T492" s="5"/>
    </row>
    <row r="493" ht="15.75" customHeight="1">
      <c r="M493" s="4"/>
      <c r="N493" s="5"/>
      <c r="S493" s="4"/>
      <c r="T493" s="5"/>
    </row>
    <row r="494" ht="15.75" customHeight="1">
      <c r="M494" s="4"/>
      <c r="N494" s="5"/>
      <c r="S494" s="4"/>
      <c r="T494" s="5"/>
    </row>
    <row r="495" ht="15.75" customHeight="1">
      <c r="M495" s="4"/>
      <c r="N495" s="5"/>
      <c r="S495" s="4"/>
      <c r="T495" s="5"/>
    </row>
    <row r="496" ht="15.75" customHeight="1">
      <c r="M496" s="4"/>
      <c r="N496" s="5"/>
      <c r="S496" s="4"/>
      <c r="T496" s="5"/>
    </row>
    <row r="497" ht="15.75" customHeight="1">
      <c r="M497" s="4"/>
      <c r="N497" s="5"/>
      <c r="S497" s="4"/>
      <c r="T497" s="5"/>
    </row>
    <row r="498" ht="15.75" customHeight="1">
      <c r="M498" s="4"/>
      <c r="N498" s="5"/>
      <c r="S498" s="4"/>
      <c r="T498" s="5"/>
    </row>
    <row r="499" ht="15.75" customHeight="1">
      <c r="M499" s="4"/>
      <c r="N499" s="5"/>
      <c r="S499" s="4"/>
      <c r="T499" s="5"/>
    </row>
    <row r="500" ht="15.75" customHeight="1">
      <c r="M500" s="4"/>
      <c r="N500" s="5"/>
      <c r="S500" s="4"/>
      <c r="T500" s="5"/>
    </row>
    <row r="501" ht="15.75" customHeight="1">
      <c r="M501" s="4"/>
      <c r="N501" s="5"/>
      <c r="S501" s="4"/>
      <c r="T501" s="5"/>
    </row>
    <row r="502" ht="15.75" customHeight="1">
      <c r="M502" s="4"/>
      <c r="N502" s="5"/>
      <c r="S502" s="4"/>
      <c r="T502" s="5"/>
    </row>
    <row r="503" ht="15.75" customHeight="1">
      <c r="M503" s="4"/>
      <c r="N503" s="5"/>
      <c r="S503" s="4"/>
      <c r="T503" s="5"/>
    </row>
    <row r="504" ht="15.75" customHeight="1">
      <c r="M504" s="4"/>
      <c r="N504" s="5"/>
      <c r="S504" s="4"/>
      <c r="T504" s="5"/>
    </row>
    <row r="505" ht="15.75" customHeight="1">
      <c r="M505" s="4"/>
      <c r="N505" s="5"/>
      <c r="S505" s="4"/>
      <c r="T505" s="5"/>
    </row>
    <row r="506" ht="15.75" customHeight="1">
      <c r="M506" s="4"/>
      <c r="N506" s="5"/>
      <c r="S506" s="4"/>
      <c r="T506" s="5"/>
    </row>
    <row r="507" ht="15.75" customHeight="1">
      <c r="M507" s="4"/>
      <c r="N507" s="5"/>
      <c r="S507" s="4"/>
      <c r="T507" s="5"/>
    </row>
    <row r="508" ht="15.75" customHeight="1">
      <c r="M508" s="4"/>
      <c r="N508" s="5"/>
      <c r="S508" s="4"/>
      <c r="T508" s="5"/>
    </row>
    <row r="509" ht="15.75" customHeight="1">
      <c r="M509" s="4"/>
      <c r="N509" s="5"/>
      <c r="S509" s="4"/>
      <c r="T509" s="5"/>
    </row>
    <row r="510" ht="15.75" customHeight="1">
      <c r="M510" s="4"/>
      <c r="N510" s="5"/>
      <c r="S510" s="4"/>
      <c r="T510" s="5"/>
    </row>
    <row r="511" ht="15.75" customHeight="1">
      <c r="M511" s="4"/>
      <c r="N511" s="5"/>
      <c r="S511" s="4"/>
      <c r="T511" s="5"/>
    </row>
    <row r="512" ht="15.75" customHeight="1">
      <c r="M512" s="4"/>
      <c r="N512" s="5"/>
      <c r="S512" s="4"/>
      <c r="T512" s="5"/>
    </row>
    <row r="513" ht="15.75" customHeight="1">
      <c r="M513" s="4"/>
      <c r="N513" s="5"/>
      <c r="S513" s="4"/>
      <c r="T513" s="5"/>
    </row>
    <row r="514" ht="15.75" customHeight="1">
      <c r="M514" s="4"/>
      <c r="N514" s="5"/>
      <c r="S514" s="4"/>
      <c r="T514" s="5"/>
    </row>
    <row r="515" ht="15.75" customHeight="1">
      <c r="M515" s="4"/>
      <c r="N515" s="5"/>
      <c r="S515" s="4"/>
      <c r="T515" s="5"/>
    </row>
    <row r="516" ht="15.75" customHeight="1">
      <c r="M516" s="4"/>
      <c r="N516" s="5"/>
      <c r="S516" s="4"/>
      <c r="T516" s="5"/>
    </row>
    <row r="517" ht="15.75" customHeight="1">
      <c r="M517" s="4"/>
      <c r="N517" s="5"/>
      <c r="S517" s="4"/>
      <c r="T517" s="5"/>
    </row>
    <row r="518" ht="15.75" customHeight="1">
      <c r="M518" s="4"/>
      <c r="N518" s="5"/>
      <c r="S518" s="4"/>
      <c r="T518" s="5"/>
    </row>
    <row r="519" ht="15.75" customHeight="1">
      <c r="M519" s="4"/>
      <c r="N519" s="5"/>
      <c r="S519" s="4"/>
      <c r="T519" s="5"/>
    </row>
    <row r="520" ht="15.75" customHeight="1">
      <c r="M520" s="4"/>
      <c r="N520" s="5"/>
      <c r="S520" s="4"/>
      <c r="T520" s="5"/>
    </row>
    <row r="521" ht="15.75" customHeight="1">
      <c r="M521" s="4"/>
      <c r="N521" s="5"/>
      <c r="S521" s="4"/>
      <c r="T521" s="5"/>
    </row>
    <row r="522" ht="15.75" customHeight="1">
      <c r="M522" s="4"/>
      <c r="N522" s="5"/>
      <c r="S522" s="4"/>
      <c r="T522" s="5"/>
    </row>
    <row r="523" ht="15.75" customHeight="1">
      <c r="M523" s="4"/>
      <c r="N523" s="5"/>
      <c r="S523" s="4"/>
      <c r="T523" s="5"/>
    </row>
    <row r="524" ht="15.75" customHeight="1">
      <c r="M524" s="4"/>
      <c r="N524" s="5"/>
      <c r="S524" s="4"/>
      <c r="T524" s="5"/>
    </row>
    <row r="525" ht="15.75" customHeight="1">
      <c r="M525" s="4"/>
      <c r="N525" s="5"/>
      <c r="S525" s="4"/>
      <c r="T525" s="5"/>
    </row>
    <row r="526" ht="15.75" customHeight="1">
      <c r="M526" s="4"/>
      <c r="N526" s="5"/>
      <c r="S526" s="4"/>
      <c r="T526" s="5"/>
    </row>
    <row r="527" ht="15.75" customHeight="1">
      <c r="M527" s="4"/>
      <c r="N527" s="5"/>
      <c r="S527" s="4"/>
      <c r="T527" s="5"/>
    </row>
    <row r="528" ht="15.75" customHeight="1">
      <c r="M528" s="4"/>
      <c r="N528" s="5"/>
      <c r="S528" s="4"/>
      <c r="T528" s="5"/>
    </row>
    <row r="529" ht="15.75" customHeight="1">
      <c r="M529" s="4"/>
      <c r="N529" s="5"/>
      <c r="S529" s="4"/>
      <c r="T529" s="5"/>
    </row>
    <row r="530" ht="15.75" customHeight="1">
      <c r="M530" s="4"/>
      <c r="N530" s="5"/>
      <c r="S530" s="4"/>
      <c r="T530" s="5"/>
    </row>
    <row r="531" ht="15.75" customHeight="1">
      <c r="M531" s="4"/>
      <c r="N531" s="5"/>
      <c r="S531" s="4"/>
      <c r="T531" s="5"/>
    </row>
    <row r="532" ht="15.75" customHeight="1">
      <c r="M532" s="4"/>
      <c r="N532" s="5"/>
      <c r="S532" s="4"/>
      <c r="T532" s="5"/>
    </row>
    <row r="533" ht="15.75" customHeight="1">
      <c r="M533" s="4"/>
      <c r="N533" s="5"/>
      <c r="S533" s="4"/>
      <c r="T533" s="5"/>
    </row>
    <row r="534" ht="15.75" customHeight="1">
      <c r="M534" s="4"/>
      <c r="N534" s="5"/>
      <c r="S534" s="4"/>
      <c r="T534" s="5"/>
    </row>
    <row r="535" ht="15.75" customHeight="1">
      <c r="M535" s="4"/>
      <c r="N535" s="5"/>
      <c r="S535" s="4"/>
      <c r="T535" s="5"/>
    </row>
    <row r="536" ht="15.75" customHeight="1">
      <c r="M536" s="4"/>
      <c r="N536" s="5"/>
      <c r="S536" s="4"/>
      <c r="T536" s="5"/>
    </row>
    <row r="537" ht="15.75" customHeight="1">
      <c r="M537" s="4"/>
      <c r="N537" s="5"/>
      <c r="S537" s="4"/>
      <c r="T537" s="5"/>
    </row>
    <row r="538" ht="15.75" customHeight="1">
      <c r="M538" s="4"/>
      <c r="N538" s="5"/>
      <c r="S538" s="4"/>
      <c r="T538" s="5"/>
    </row>
    <row r="539" ht="15.75" customHeight="1">
      <c r="M539" s="4"/>
      <c r="N539" s="5"/>
      <c r="S539" s="4"/>
      <c r="T539" s="5"/>
    </row>
    <row r="540" ht="15.75" customHeight="1">
      <c r="M540" s="4"/>
      <c r="N540" s="5"/>
      <c r="S540" s="4"/>
      <c r="T540" s="5"/>
    </row>
    <row r="541" ht="15.75" customHeight="1">
      <c r="M541" s="4"/>
      <c r="N541" s="5"/>
      <c r="S541" s="4"/>
      <c r="T541" s="5"/>
    </row>
    <row r="542" ht="15.75" customHeight="1">
      <c r="M542" s="4"/>
      <c r="N542" s="5"/>
      <c r="S542" s="4"/>
      <c r="T542" s="5"/>
    </row>
    <row r="543" ht="15.75" customHeight="1">
      <c r="M543" s="4"/>
      <c r="N543" s="5"/>
      <c r="S543" s="4"/>
      <c r="T543" s="5"/>
    </row>
    <row r="544" ht="15.75" customHeight="1">
      <c r="M544" s="4"/>
      <c r="N544" s="5"/>
      <c r="S544" s="4"/>
      <c r="T544" s="5"/>
    </row>
    <row r="545" ht="15.75" customHeight="1">
      <c r="M545" s="4"/>
      <c r="N545" s="5"/>
      <c r="S545" s="4"/>
      <c r="T545" s="5"/>
    </row>
    <row r="546" ht="15.75" customHeight="1">
      <c r="M546" s="4"/>
      <c r="N546" s="5"/>
      <c r="S546" s="4"/>
      <c r="T546" s="5"/>
    </row>
    <row r="547" ht="15.75" customHeight="1">
      <c r="M547" s="4"/>
      <c r="N547" s="5"/>
      <c r="S547" s="4"/>
      <c r="T547" s="5"/>
    </row>
    <row r="548" ht="15.75" customHeight="1">
      <c r="M548" s="4"/>
      <c r="N548" s="5"/>
      <c r="S548" s="4"/>
      <c r="T548" s="5"/>
    </row>
    <row r="549" ht="15.75" customHeight="1">
      <c r="M549" s="4"/>
      <c r="N549" s="5"/>
      <c r="S549" s="4"/>
      <c r="T549" s="5"/>
    </row>
    <row r="550" ht="15.75" customHeight="1">
      <c r="M550" s="4"/>
      <c r="N550" s="5"/>
      <c r="S550" s="4"/>
      <c r="T550" s="5"/>
    </row>
    <row r="551" ht="15.75" customHeight="1">
      <c r="M551" s="4"/>
      <c r="N551" s="5"/>
      <c r="S551" s="4"/>
      <c r="T551" s="5"/>
    </row>
    <row r="552" ht="15.75" customHeight="1">
      <c r="M552" s="4"/>
      <c r="N552" s="5"/>
      <c r="S552" s="4"/>
      <c r="T552" s="5"/>
    </row>
    <row r="553" ht="15.75" customHeight="1">
      <c r="M553" s="4"/>
      <c r="N553" s="5"/>
      <c r="S553" s="4"/>
      <c r="T553" s="5"/>
    </row>
    <row r="554" ht="15.75" customHeight="1">
      <c r="M554" s="4"/>
      <c r="N554" s="5"/>
      <c r="S554" s="4"/>
      <c r="T554" s="5"/>
    </row>
    <row r="555" ht="15.75" customHeight="1">
      <c r="M555" s="4"/>
      <c r="N555" s="5"/>
      <c r="S555" s="4"/>
      <c r="T555" s="5"/>
    </row>
    <row r="556" ht="15.75" customHeight="1">
      <c r="M556" s="4"/>
      <c r="N556" s="5"/>
      <c r="S556" s="4"/>
      <c r="T556" s="5"/>
    </row>
    <row r="557" ht="15.75" customHeight="1">
      <c r="M557" s="4"/>
      <c r="N557" s="5"/>
      <c r="S557" s="4"/>
      <c r="T557" s="5"/>
    </row>
    <row r="558" ht="15.75" customHeight="1">
      <c r="M558" s="4"/>
      <c r="N558" s="5"/>
      <c r="S558" s="4"/>
      <c r="T558" s="5"/>
    </row>
    <row r="559" ht="15.75" customHeight="1">
      <c r="M559" s="4"/>
      <c r="N559" s="5"/>
      <c r="S559" s="4"/>
      <c r="T559" s="5"/>
    </row>
    <row r="560" ht="15.75" customHeight="1">
      <c r="M560" s="4"/>
      <c r="N560" s="5"/>
      <c r="S560" s="4"/>
      <c r="T560" s="5"/>
    </row>
    <row r="561" ht="15.75" customHeight="1">
      <c r="M561" s="4"/>
      <c r="N561" s="5"/>
      <c r="S561" s="4"/>
      <c r="T561" s="5"/>
    </row>
    <row r="562" ht="15.75" customHeight="1">
      <c r="M562" s="4"/>
      <c r="N562" s="5"/>
      <c r="S562" s="4"/>
      <c r="T562" s="5"/>
    </row>
    <row r="563" ht="15.75" customHeight="1">
      <c r="M563" s="4"/>
      <c r="N563" s="5"/>
      <c r="S563" s="4"/>
      <c r="T563" s="5"/>
    </row>
    <row r="564" ht="15.75" customHeight="1">
      <c r="M564" s="4"/>
      <c r="N564" s="5"/>
      <c r="S564" s="4"/>
      <c r="T564" s="5"/>
    </row>
    <row r="565" ht="15.75" customHeight="1">
      <c r="M565" s="4"/>
      <c r="N565" s="5"/>
      <c r="S565" s="4"/>
      <c r="T565" s="5"/>
    </row>
    <row r="566" ht="15.75" customHeight="1">
      <c r="M566" s="4"/>
      <c r="N566" s="5"/>
      <c r="S566" s="4"/>
      <c r="T566" s="5"/>
    </row>
    <row r="567" ht="15.75" customHeight="1">
      <c r="M567" s="4"/>
      <c r="N567" s="5"/>
      <c r="S567" s="4"/>
      <c r="T567" s="5"/>
    </row>
    <row r="568" ht="15.75" customHeight="1">
      <c r="M568" s="4"/>
      <c r="N568" s="5"/>
      <c r="S568" s="4"/>
      <c r="T568" s="5"/>
    </row>
    <row r="569" ht="15.75" customHeight="1">
      <c r="M569" s="4"/>
      <c r="N569" s="5"/>
      <c r="S569" s="4"/>
      <c r="T569" s="5"/>
    </row>
    <row r="570" ht="15.75" customHeight="1">
      <c r="M570" s="4"/>
      <c r="N570" s="5"/>
      <c r="S570" s="4"/>
      <c r="T570" s="5"/>
    </row>
    <row r="571" ht="15.75" customHeight="1">
      <c r="M571" s="4"/>
      <c r="N571" s="5"/>
      <c r="S571" s="4"/>
      <c r="T571" s="5"/>
    </row>
    <row r="572" ht="15.75" customHeight="1">
      <c r="M572" s="4"/>
      <c r="N572" s="5"/>
      <c r="S572" s="4"/>
      <c r="T572" s="5"/>
    </row>
    <row r="573" ht="15.75" customHeight="1">
      <c r="M573" s="4"/>
      <c r="N573" s="5"/>
      <c r="S573" s="4"/>
      <c r="T573" s="5"/>
    </row>
    <row r="574" ht="15.75" customHeight="1">
      <c r="M574" s="4"/>
      <c r="N574" s="5"/>
      <c r="S574" s="4"/>
      <c r="T574" s="5"/>
    </row>
    <row r="575" ht="15.75" customHeight="1">
      <c r="M575" s="4"/>
      <c r="N575" s="5"/>
      <c r="S575" s="4"/>
      <c r="T575" s="5"/>
    </row>
    <row r="576" ht="15.75" customHeight="1">
      <c r="M576" s="4"/>
      <c r="N576" s="5"/>
      <c r="S576" s="4"/>
      <c r="T576" s="5"/>
    </row>
    <row r="577" ht="15.75" customHeight="1">
      <c r="M577" s="4"/>
      <c r="N577" s="5"/>
      <c r="S577" s="4"/>
      <c r="T577" s="5"/>
    </row>
    <row r="578" ht="15.75" customHeight="1">
      <c r="M578" s="4"/>
      <c r="N578" s="5"/>
      <c r="S578" s="4"/>
      <c r="T578" s="5"/>
    </row>
    <row r="579" ht="15.75" customHeight="1">
      <c r="M579" s="4"/>
      <c r="N579" s="5"/>
      <c r="S579" s="4"/>
      <c r="T579" s="5"/>
    </row>
    <row r="580" ht="15.75" customHeight="1">
      <c r="M580" s="4"/>
      <c r="N580" s="5"/>
      <c r="S580" s="4"/>
      <c r="T580" s="5"/>
    </row>
    <row r="581" ht="15.75" customHeight="1">
      <c r="M581" s="4"/>
      <c r="N581" s="5"/>
      <c r="S581" s="4"/>
      <c r="T581" s="5"/>
    </row>
    <row r="582" ht="15.75" customHeight="1">
      <c r="M582" s="4"/>
      <c r="N582" s="5"/>
      <c r="S582" s="4"/>
      <c r="T582" s="5"/>
    </row>
    <row r="583" ht="15.75" customHeight="1">
      <c r="M583" s="4"/>
      <c r="N583" s="5"/>
      <c r="S583" s="4"/>
      <c r="T583" s="5"/>
    </row>
    <row r="584" ht="15.75" customHeight="1">
      <c r="M584" s="4"/>
      <c r="N584" s="5"/>
      <c r="S584" s="4"/>
      <c r="T584" s="5"/>
    </row>
    <row r="585" ht="15.75" customHeight="1">
      <c r="M585" s="4"/>
      <c r="N585" s="5"/>
      <c r="S585" s="4"/>
      <c r="T585" s="5"/>
    </row>
    <row r="586" ht="15.75" customHeight="1">
      <c r="M586" s="4"/>
      <c r="N586" s="5"/>
      <c r="S586" s="4"/>
      <c r="T586" s="5"/>
    </row>
    <row r="587" ht="15.75" customHeight="1">
      <c r="M587" s="4"/>
      <c r="N587" s="5"/>
      <c r="S587" s="4"/>
      <c r="T587" s="5"/>
    </row>
    <row r="588" ht="15.75" customHeight="1">
      <c r="M588" s="4"/>
      <c r="N588" s="5"/>
      <c r="S588" s="4"/>
      <c r="T588" s="5"/>
    </row>
    <row r="589" ht="15.75" customHeight="1">
      <c r="M589" s="4"/>
      <c r="N589" s="5"/>
      <c r="S589" s="4"/>
      <c r="T589" s="5"/>
    </row>
    <row r="590" ht="15.75" customHeight="1">
      <c r="M590" s="4"/>
      <c r="N590" s="5"/>
      <c r="S590" s="4"/>
      <c r="T590" s="5"/>
    </row>
    <row r="591" ht="15.75" customHeight="1">
      <c r="M591" s="4"/>
      <c r="N591" s="5"/>
      <c r="S591" s="4"/>
      <c r="T591" s="5"/>
    </row>
    <row r="592" ht="15.75" customHeight="1">
      <c r="M592" s="4"/>
      <c r="N592" s="5"/>
      <c r="S592" s="4"/>
      <c r="T592" s="5"/>
    </row>
    <row r="593" ht="15.75" customHeight="1">
      <c r="M593" s="4"/>
      <c r="N593" s="5"/>
      <c r="S593" s="4"/>
      <c r="T593" s="5"/>
    </row>
    <row r="594" ht="15.75" customHeight="1">
      <c r="M594" s="4"/>
      <c r="N594" s="5"/>
      <c r="S594" s="4"/>
      <c r="T594" s="5"/>
    </row>
    <row r="595" ht="15.75" customHeight="1">
      <c r="M595" s="4"/>
      <c r="N595" s="5"/>
      <c r="S595" s="4"/>
      <c r="T595" s="5"/>
    </row>
    <row r="596" ht="15.75" customHeight="1">
      <c r="M596" s="4"/>
      <c r="N596" s="5"/>
      <c r="S596" s="4"/>
      <c r="T596" s="5"/>
    </row>
    <row r="597" ht="15.75" customHeight="1">
      <c r="M597" s="4"/>
      <c r="N597" s="5"/>
      <c r="S597" s="4"/>
      <c r="T597" s="5"/>
    </row>
    <row r="598" ht="15.75" customHeight="1">
      <c r="M598" s="4"/>
      <c r="N598" s="5"/>
      <c r="S598" s="4"/>
      <c r="T598" s="5"/>
    </row>
    <row r="599" ht="15.75" customHeight="1">
      <c r="M599" s="4"/>
      <c r="N599" s="5"/>
      <c r="S599" s="4"/>
      <c r="T599" s="5"/>
    </row>
    <row r="600" ht="15.75" customHeight="1">
      <c r="M600" s="4"/>
      <c r="N600" s="5"/>
      <c r="S600" s="4"/>
      <c r="T600" s="5"/>
    </row>
    <row r="601" ht="15.75" customHeight="1">
      <c r="M601" s="4"/>
      <c r="N601" s="5"/>
      <c r="S601" s="4"/>
      <c r="T601" s="5"/>
    </row>
    <row r="602" ht="15.75" customHeight="1">
      <c r="M602" s="4"/>
      <c r="N602" s="5"/>
      <c r="S602" s="4"/>
      <c r="T602" s="5"/>
    </row>
    <row r="603" ht="15.75" customHeight="1">
      <c r="M603" s="4"/>
      <c r="N603" s="5"/>
      <c r="S603" s="4"/>
      <c r="T603" s="5"/>
    </row>
    <row r="604" ht="15.75" customHeight="1">
      <c r="M604" s="4"/>
      <c r="N604" s="5"/>
      <c r="S604" s="4"/>
      <c r="T604" s="5"/>
    </row>
    <row r="605" ht="15.75" customHeight="1">
      <c r="M605" s="4"/>
      <c r="N605" s="5"/>
      <c r="S605" s="4"/>
      <c r="T605" s="5"/>
    </row>
    <row r="606" ht="15.75" customHeight="1">
      <c r="M606" s="4"/>
      <c r="N606" s="5"/>
      <c r="S606" s="4"/>
      <c r="T606" s="5"/>
    </row>
    <row r="607" ht="15.75" customHeight="1">
      <c r="M607" s="4"/>
      <c r="N607" s="5"/>
      <c r="S607" s="4"/>
      <c r="T607" s="5"/>
    </row>
    <row r="608" ht="15.75" customHeight="1">
      <c r="M608" s="4"/>
      <c r="N608" s="5"/>
      <c r="S608" s="4"/>
      <c r="T608" s="5"/>
    </row>
    <row r="609" ht="15.75" customHeight="1">
      <c r="M609" s="4"/>
      <c r="N609" s="5"/>
      <c r="S609" s="4"/>
      <c r="T609" s="5"/>
    </row>
    <row r="610" ht="15.75" customHeight="1">
      <c r="M610" s="4"/>
      <c r="N610" s="5"/>
      <c r="S610" s="4"/>
      <c r="T610" s="5"/>
    </row>
    <row r="611" ht="15.75" customHeight="1">
      <c r="M611" s="4"/>
      <c r="N611" s="5"/>
      <c r="S611" s="4"/>
      <c r="T611" s="5"/>
    </row>
    <row r="612" ht="15.75" customHeight="1">
      <c r="M612" s="4"/>
      <c r="N612" s="5"/>
      <c r="S612" s="4"/>
      <c r="T612" s="5"/>
    </row>
    <row r="613" ht="15.75" customHeight="1">
      <c r="M613" s="4"/>
      <c r="N613" s="5"/>
      <c r="S613" s="4"/>
      <c r="T613" s="5"/>
    </row>
    <row r="614" ht="15.75" customHeight="1">
      <c r="M614" s="4"/>
      <c r="N614" s="5"/>
      <c r="S614" s="4"/>
      <c r="T614" s="5"/>
    </row>
    <row r="615" ht="15.75" customHeight="1">
      <c r="M615" s="4"/>
      <c r="N615" s="5"/>
      <c r="S615" s="4"/>
      <c r="T615" s="5"/>
    </row>
    <row r="616" ht="15.75" customHeight="1">
      <c r="M616" s="4"/>
      <c r="N616" s="5"/>
      <c r="S616" s="4"/>
      <c r="T616" s="5"/>
    </row>
    <row r="617" ht="15.75" customHeight="1">
      <c r="M617" s="4"/>
      <c r="N617" s="5"/>
      <c r="S617" s="4"/>
      <c r="T617" s="5"/>
    </row>
    <row r="618" ht="15.75" customHeight="1">
      <c r="M618" s="4"/>
      <c r="N618" s="5"/>
      <c r="S618" s="4"/>
      <c r="T618" s="5"/>
    </row>
    <row r="619" ht="15.75" customHeight="1">
      <c r="M619" s="4"/>
      <c r="N619" s="5"/>
      <c r="S619" s="4"/>
      <c r="T619" s="5"/>
    </row>
    <row r="620" ht="15.75" customHeight="1">
      <c r="M620" s="4"/>
      <c r="N620" s="5"/>
      <c r="S620" s="4"/>
      <c r="T620" s="5"/>
    </row>
    <row r="621" ht="15.75" customHeight="1">
      <c r="M621" s="4"/>
      <c r="N621" s="5"/>
      <c r="S621" s="4"/>
      <c r="T621" s="5"/>
    </row>
    <row r="622" ht="15.75" customHeight="1">
      <c r="M622" s="4"/>
      <c r="N622" s="5"/>
      <c r="S622" s="4"/>
      <c r="T622" s="5"/>
    </row>
    <row r="623" ht="15.75" customHeight="1">
      <c r="M623" s="4"/>
      <c r="N623" s="5"/>
      <c r="S623" s="4"/>
      <c r="T623" s="5"/>
    </row>
    <row r="624" ht="15.75" customHeight="1">
      <c r="M624" s="4"/>
      <c r="N624" s="5"/>
      <c r="S624" s="4"/>
      <c r="T624" s="5"/>
    </row>
    <row r="625" ht="15.75" customHeight="1">
      <c r="M625" s="4"/>
      <c r="N625" s="5"/>
      <c r="S625" s="4"/>
      <c r="T625" s="5"/>
    </row>
    <row r="626" ht="15.75" customHeight="1">
      <c r="M626" s="4"/>
      <c r="N626" s="5"/>
      <c r="S626" s="4"/>
      <c r="T626" s="5"/>
    </row>
    <row r="627" ht="15.75" customHeight="1">
      <c r="M627" s="4"/>
      <c r="N627" s="5"/>
      <c r="S627" s="4"/>
      <c r="T627" s="5"/>
    </row>
    <row r="628" ht="15.75" customHeight="1">
      <c r="M628" s="4"/>
      <c r="N628" s="5"/>
      <c r="S628" s="4"/>
      <c r="T628" s="5"/>
    </row>
    <row r="629" ht="15.75" customHeight="1">
      <c r="M629" s="4"/>
      <c r="N629" s="5"/>
      <c r="S629" s="4"/>
      <c r="T629" s="5"/>
    </row>
    <row r="630" ht="15.75" customHeight="1">
      <c r="M630" s="4"/>
      <c r="N630" s="5"/>
      <c r="S630" s="4"/>
      <c r="T630" s="5"/>
    </row>
    <row r="631" ht="15.75" customHeight="1">
      <c r="M631" s="4"/>
      <c r="N631" s="5"/>
      <c r="S631" s="4"/>
      <c r="T631" s="5"/>
    </row>
    <row r="632" ht="15.75" customHeight="1">
      <c r="M632" s="4"/>
      <c r="N632" s="5"/>
      <c r="S632" s="4"/>
      <c r="T632" s="5"/>
    </row>
    <row r="633" ht="15.75" customHeight="1">
      <c r="M633" s="4"/>
      <c r="N633" s="5"/>
      <c r="S633" s="4"/>
      <c r="T633" s="5"/>
    </row>
    <row r="634" ht="15.75" customHeight="1">
      <c r="M634" s="4"/>
      <c r="N634" s="5"/>
      <c r="S634" s="4"/>
      <c r="T634" s="5"/>
    </row>
    <row r="635" ht="15.75" customHeight="1">
      <c r="M635" s="4"/>
      <c r="N635" s="5"/>
      <c r="S635" s="4"/>
      <c r="T635" s="5"/>
    </row>
    <row r="636" ht="15.75" customHeight="1">
      <c r="M636" s="4"/>
      <c r="N636" s="5"/>
      <c r="S636" s="4"/>
      <c r="T636" s="5"/>
    </row>
    <row r="637" ht="15.75" customHeight="1">
      <c r="M637" s="4"/>
      <c r="N637" s="5"/>
      <c r="S637" s="4"/>
      <c r="T637" s="5"/>
    </row>
    <row r="638" ht="15.75" customHeight="1">
      <c r="M638" s="4"/>
      <c r="N638" s="5"/>
      <c r="S638" s="4"/>
      <c r="T638" s="5"/>
    </row>
    <row r="639" ht="15.75" customHeight="1">
      <c r="M639" s="4"/>
      <c r="N639" s="5"/>
      <c r="S639" s="4"/>
      <c r="T639" s="5"/>
    </row>
    <row r="640" ht="15.75" customHeight="1">
      <c r="M640" s="4"/>
      <c r="N640" s="5"/>
      <c r="S640" s="4"/>
      <c r="T640" s="5"/>
    </row>
    <row r="641" ht="15.75" customHeight="1">
      <c r="M641" s="4"/>
      <c r="N641" s="5"/>
      <c r="S641" s="4"/>
      <c r="T641" s="5"/>
    </row>
    <row r="642" ht="15.75" customHeight="1">
      <c r="M642" s="4"/>
      <c r="N642" s="5"/>
      <c r="S642" s="4"/>
      <c r="T642" s="5"/>
    </row>
    <row r="643" ht="15.75" customHeight="1">
      <c r="M643" s="4"/>
      <c r="N643" s="5"/>
      <c r="S643" s="4"/>
      <c r="T643" s="5"/>
    </row>
    <row r="644" ht="15.75" customHeight="1">
      <c r="M644" s="4"/>
      <c r="N644" s="5"/>
      <c r="S644" s="4"/>
      <c r="T644" s="5"/>
    </row>
    <row r="645" ht="15.75" customHeight="1">
      <c r="M645" s="4"/>
      <c r="N645" s="5"/>
      <c r="S645" s="4"/>
      <c r="T645" s="5"/>
    </row>
    <row r="646" ht="15.75" customHeight="1">
      <c r="M646" s="4"/>
      <c r="N646" s="5"/>
      <c r="S646" s="4"/>
      <c r="T646" s="5"/>
    </row>
    <row r="647" ht="15.75" customHeight="1">
      <c r="M647" s="4"/>
      <c r="N647" s="5"/>
      <c r="S647" s="4"/>
      <c r="T647" s="5"/>
    </row>
    <row r="648" ht="15.75" customHeight="1">
      <c r="M648" s="4"/>
      <c r="N648" s="5"/>
      <c r="S648" s="4"/>
      <c r="T648" s="5"/>
    </row>
    <row r="649" ht="15.75" customHeight="1">
      <c r="M649" s="4"/>
      <c r="N649" s="5"/>
      <c r="S649" s="4"/>
      <c r="T649" s="5"/>
    </row>
    <row r="650" ht="15.75" customHeight="1">
      <c r="M650" s="4"/>
      <c r="N650" s="5"/>
      <c r="S650" s="4"/>
      <c r="T650" s="5"/>
    </row>
    <row r="651" ht="15.75" customHeight="1">
      <c r="M651" s="4"/>
      <c r="N651" s="5"/>
      <c r="S651" s="4"/>
      <c r="T651" s="5"/>
    </row>
    <row r="652" ht="15.75" customHeight="1">
      <c r="M652" s="4"/>
      <c r="N652" s="5"/>
      <c r="S652" s="4"/>
      <c r="T652" s="5"/>
    </row>
    <row r="653" ht="15.75" customHeight="1">
      <c r="M653" s="4"/>
      <c r="N653" s="5"/>
      <c r="S653" s="4"/>
      <c r="T653" s="5"/>
    </row>
    <row r="654" ht="15.75" customHeight="1">
      <c r="M654" s="4"/>
      <c r="N654" s="5"/>
      <c r="S654" s="4"/>
      <c r="T654" s="5"/>
    </row>
    <row r="655" ht="15.75" customHeight="1">
      <c r="M655" s="4"/>
      <c r="N655" s="5"/>
      <c r="S655" s="4"/>
      <c r="T655" s="5"/>
    </row>
    <row r="656" ht="15.75" customHeight="1">
      <c r="M656" s="4"/>
      <c r="N656" s="5"/>
      <c r="S656" s="4"/>
      <c r="T656" s="5"/>
    </row>
    <row r="657" ht="15.75" customHeight="1">
      <c r="M657" s="4"/>
      <c r="N657" s="5"/>
      <c r="S657" s="4"/>
      <c r="T657" s="5"/>
    </row>
    <row r="658" ht="15.75" customHeight="1">
      <c r="M658" s="4"/>
      <c r="N658" s="5"/>
      <c r="S658" s="4"/>
      <c r="T658" s="5"/>
    </row>
    <row r="659" ht="15.75" customHeight="1">
      <c r="M659" s="4"/>
      <c r="N659" s="5"/>
      <c r="S659" s="4"/>
      <c r="T659" s="5"/>
    </row>
    <row r="660" ht="15.75" customHeight="1">
      <c r="M660" s="4"/>
      <c r="N660" s="5"/>
      <c r="S660" s="4"/>
      <c r="T660" s="5"/>
    </row>
    <row r="661" ht="15.75" customHeight="1">
      <c r="M661" s="4"/>
      <c r="N661" s="5"/>
      <c r="S661" s="4"/>
      <c r="T661" s="5"/>
    </row>
    <row r="662" ht="15.75" customHeight="1">
      <c r="M662" s="4"/>
      <c r="N662" s="5"/>
      <c r="S662" s="4"/>
      <c r="T662" s="5"/>
    </row>
    <row r="663" ht="15.75" customHeight="1">
      <c r="M663" s="4"/>
      <c r="N663" s="5"/>
      <c r="S663" s="4"/>
      <c r="T663" s="5"/>
    </row>
    <row r="664" ht="15.75" customHeight="1">
      <c r="M664" s="4"/>
      <c r="N664" s="5"/>
      <c r="S664" s="4"/>
      <c r="T664" s="5"/>
    </row>
    <row r="665" ht="15.75" customHeight="1">
      <c r="M665" s="4"/>
      <c r="N665" s="5"/>
      <c r="S665" s="4"/>
      <c r="T665" s="5"/>
    </row>
    <row r="666" ht="15.75" customHeight="1">
      <c r="M666" s="4"/>
      <c r="N666" s="5"/>
      <c r="S666" s="4"/>
      <c r="T666" s="5"/>
    </row>
    <row r="667" ht="15.75" customHeight="1">
      <c r="M667" s="4"/>
      <c r="N667" s="5"/>
      <c r="S667" s="4"/>
      <c r="T667" s="5"/>
    </row>
    <row r="668" ht="15.75" customHeight="1">
      <c r="M668" s="4"/>
      <c r="N668" s="5"/>
      <c r="S668" s="4"/>
      <c r="T668" s="5"/>
    </row>
    <row r="669" ht="15.75" customHeight="1">
      <c r="M669" s="4"/>
      <c r="N669" s="5"/>
      <c r="S669" s="4"/>
      <c r="T669" s="5"/>
    </row>
    <row r="670" ht="15.75" customHeight="1">
      <c r="M670" s="4"/>
      <c r="N670" s="5"/>
      <c r="S670" s="4"/>
      <c r="T670" s="5"/>
    </row>
    <row r="671" ht="15.75" customHeight="1">
      <c r="M671" s="4"/>
      <c r="N671" s="5"/>
      <c r="S671" s="4"/>
      <c r="T671" s="5"/>
    </row>
    <row r="672" ht="15.75" customHeight="1">
      <c r="M672" s="4"/>
      <c r="N672" s="5"/>
      <c r="S672" s="4"/>
      <c r="T672" s="5"/>
    </row>
    <row r="673" ht="15.75" customHeight="1">
      <c r="M673" s="4"/>
      <c r="N673" s="5"/>
      <c r="S673" s="4"/>
      <c r="T673" s="5"/>
    </row>
    <row r="674" ht="15.75" customHeight="1">
      <c r="M674" s="4"/>
      <c r="N674" s="5"/>
      <c r="S674" s="4"/>
      <c r="T674" s="5"/>
    </row>
    <row r="675" ht="15.75" customHeight="1">
      <c r="M675" s="4"/>
      <c r="N675" s="5"/>
      <c r="S675" s="4"/>
      <c r="T675" s="5"/>
    </row>
    <row r="676" ht="15.75" customHeight="1">
      <c r="M676" s="4"/>
      <c r="N676" s="5"/>
      <c r="S676" s="4"/>
      <c r="T676" s="5"/>
    </row>
    <row r="677" ht="15.75" customHeight="1">
      <c r="M677" s="4"/>
      <c r="N677" s="5"/>
      <c r="S677" s="4"/>
      <c r="T677" s="5"/>
    </row>
    <row r="678" ht="15.75" customHeight="1">
      <c r="M678" s="4"/>
      <c r="N678" s="5"/>
      <c r="S678" s="4"/>
      <c r="T678" s="5"/>
    </row>
    <row r="679" ht="15.75" customHeight="1">
      <c r="M679" s="4"/>
      <c r="N679" s="5"/>
      <c r="S679" s="4"/>
      <c r="T679" s="5"/>
    </row>
    <row r="680" ht="15.75" customHeight="1">
      <c r="M680" s="4"/>
      <c r="N680" s="5"/>
      <c r="S680" s="4"/>
      <c r="T680" s="5"/>
    </row>
    <row r="681" ht="15.75" customHeight="1">
      <c r="M681" s="4"/>
      <c r="N681" s="5"/>
      <c r="S681" s="4"/>
      <c r="T681" s="5"/>
    </row>
    <row r="682" ht="15.75" customHeight="1">
      <c r="M682" s="4"/>
      <c r="N682" s="5"/>
      <c r="S682" s="4"/>
      <c r="T682" s="5"/>
    </row>
    <row r="683" ht="15.75" customHeight="1">
      <c r="M683" s="4"/>
      <c r="N683" s="5"/>
      <c r="S683" s="4"/>
      <c r="T683" s="5"/>
    </row>
    <row r="684" ht="15.75" customHeight="1">
      <c r="M684" s="4"/>
      <c r="N684" s="5"/>
      <c r="S684" s="4"/>
      <c r="T684" s="5"/>
    </row>
    <row r="685" ht="15.75" customHeight="1">
      <c r="M685" s="4"/>
      <c r="N685" s="5"/>
      <c r="S685" s="4"/>
      <c r="T685" s="5"/>
    </row>
    <row r="686" ht="15.75" customHeight="1">
      <c r="M686" s="4"/>
      <c r="N686" s="5"/>
      <c r="S686" s="4"/>
      <c r="T686" s="5"/>
    </row>
    <row r="687" ht="15.75" customHeight="1">
      <c r="M687" s="4"/>
      <c r="N687" s="5"/>
      <c r="S687" s="4"/>
      <c r="T687" s="5"/>
    </row>
    <row r="688" ht="15.75" customHeight="1">
      <c r="M688" s="4"/>
      <c r="N688" s="5"/>
      <c r="S688" s="4"/>
      <c r="T688" s="5"/>
    </row>
    <row r="689" ht="15.75" customHeight="1">
      <c r="M689" s="4"/>
      <c r="N689" s="5"/>
      <c r="S689" s="4"/>
      <c r="T689" s="5"/>
    </row>
    <row r="690" ht="15.75" customHeight="1">
      <c r="M690" s="4"/>
      <c r="N690" s="5"/>
      <c r="S690" s="4"/>
      <c r="T690" s="5"/>
    </row>
    <row r="691" ht="15.75" customHeight="1">
      <c r="M691" s="4"/>
      <c r="N691" s="5"/>
      <c r="S691" s="4"/>
      <c r="T691" s="5"/>
    </row>
    <row r="692" ht="15.75" customHeight="1">
      <c r="M692" s="4"/>
      <c r="N692" s="5"/>
      <c r="S692" s="4"/>
      <c r="T692" s="5"/>
    </row>
    <row r="693" ht="15.75" customHeight="1">
      <c r="M693" s="4"/>
      <c r="N693" s="5"/>
      <c r="S693" s="4"/>
      <c r="T693" s="5"/>
    </row>
    <row r="694" ht="15.75" customHeight="1">
      <c r="M694" s="4"/>
      <c r="N694" s="5"/>
      <c r="S694" s="4"/>
      <c r="T694" s="5"/>
    </row>
    <row r="695" ht="15.75" customHeight="1">
      <c r="M695" s="4"/>
      <c r="N695" s="5"/>
      <c r="S695" s="4"/>
      <c r="T695" s="5"/>
    </row>
    <row r="696" ht="15.75" customHeight="1">
      <c r="M696" s="4"/>
      <c r="N696" s="5"/>
      <c r="S696" s="4"/>
      <c r="T696" s="5"/>
    </row>
    <row r="697" ht="15.75" customHeight="1">
      <c r="M697" s="4"/>
      <c r="N697" s="5"/>
      <c r="S697" s="4"/>
      <c r="T697" s="5"/>
    </row>
    <row r="698" ht="15.75" customHeight="1">
      <c r="M698" s="4"/>
      <c r="N698" s="5"/>
      <c r="S698" s="4"/>
      <c r="T698" s="5"/>
    </row>
    <row r="699" ht="15.75" customHeight="1">
      <c r="M699" s="4"/>
      <c r="N699" s="5"/>
      <c r="S699" s="4"/>
      <c r="T699" s="5"/>
    </row>
    <row r="700" ht="15.75" customHeight="1">
      <c r="M700" s="4"/>
      <c r="N700" s="5"/>
      <c r="S700" s="4"/>
      <c r="T700" s="5"/>
    </row>
    <row r="701" ht="15.75" customHeight="1">
      <c r="M701" s="4"/>
      <c r="N701" s="5"/>
      <c r="S701" s="4"/>
      <c r="T701" s="5"/>
    </row>
    <row r="702" ht="15.75" customHeight="1">
      <c r="M702" s="4"/>
      <c r="N702" s="5"/>
      <c r="S702" s="4"/>
      <c r="T702" s="5"/>
    </row>
    <row r="703" ht="15.75" customHeight="1">
      <c r="M703" s="4"/>
      <c r="N703" s="5"/>
      <c r="S703" s="4"/>
      <c r="T703" s="5"/>
    </row>
    <row r="704" ht="15.75" customHeight="1">
      <c r="M704" s="4"/>
      <c r="N704" s="5"/>
      <c r="S704" s="4"/>
      <c r="T704" s="5"/>
    </row>
    <row r="705" ht="15.75" customHeight="1">
      <c r="M705" s="4"/>
      <c r="N705" s="5"/>
      <c r="S705" s="4"/>
      <c r="T705" s="5"/>
    </row>
    <row r="706" ht="15.75" customHeight="1">
      <c r="M706" s="4"/>
      <c r="N706" s="5"/>
      <c r="S706" s="4"/>
      <c r="T706" s="5"/>
    </row>
    <row r="707" ht="15.75" customHeight="1">
      <c r="M707" s="4"/>
      <c r="N707" s="5"/>
      <c r="S707" s="4"/>
      <c r="T707" s="5"/>
    </row>
    <row r="708" ht="15.75" customHeight="1">
      <c r="M708" s="4"/>
      <c r="N708" s="5"/>
      <c r="S708" s="4"/>
      <c r="T708" s="5"/>
    </row>
    <row r="709" ht="15.75" customHeight="1">
      <c r="M709" s="4"/>
      <c r="N709" s="5"/>
      <c r="S709" s="4"/>
      <c r="T709" s="5"/>
    </row>
    <row r="710" ht="15.75" customHeight="1">
      <c r="M710" s="4"/>
      <c r="N710" s="5"/>
      <c r="S710" s="4"/>
      <c r="T710" s="5"/>
    </row>
    <row r="711" ht="15.75" customHeight="1">
      <c r="M711" s="4"/>
      <c r="N711" s="5"/>
      <c r="S711" s="4"/>
      <c r="T711" s="5"/>
    </row>
    <row r="712" ht="15.75" customHeight="1">
      <c r="M712" s="4"/>
      <c r="N712" s="5"/>
      <c r="S712" s="4"/>
      <c r="T712" s="5"/>
    </row>
    <row r="713" ht="15.75" customHeight="1">
      <c r="M713" s="4"/>
      <c r="N713" s="5"/>
      <c r="S713" s="4"/>
      <c r="T713" s="5"/>
    </row>
    <row r="714" ht="15.75" customHeight="1">
      <c r="M714" s="4"/>
      <c r="N714" s="5"/>
      <c r="S714" s="4"/>
      <c r="T714" s="5"/>
    </row>
    <row r="715" ht="15.75" customHeight="1">
      <c r="M715" s="4"/>
      <c r="N715" s="5"/>
      <c r="S715" s="4"/>
      <c r="T715" s="5"/>
    </row>
    <row r="716" ht="15.75" customHeight="1">
      <c r="M716" s="4"/>
      <c r="N716" s="5"/>
      <c r="S716" s="4"/>
      <c r="T716" s="5"/>
    </row>
    <row r="717" ht="15.75" customHeight="1">
      <c r="M717" s="4"/>
      <c r="N717" s="5"/>
      <c r="S717" s="4"/>
      <c r="T717" s="5"/>
    </row>
    <row r="718" ht="15.75" customHeight="1">
      <c r="M718" s="4"/>
      <c r="N718" s="5"/>
      <c r="S718" s="4"/>
      <c r="T718" s="5"/>
    </row>
    <row r="719" ht="15.75" customHeight="1">
      <c r="M719" s="4"/>
      <c r="N719" s="5"/>
      <c r="S719" s="4"/>
      <c r="T719" s="5"/>
    </row>
    <row r="720" ht="15.75" customHeight="1">
      <c r="M720" s="4"/>
      <c r="N720" s="5"/>
      <c r="S720" s="4"/>
      <c r="T720" s="5"/>
    </row>
    <row r="721" ht="15.75" customHeight="1">
      <c r="M721" s="4"/>
      <c r="N721" s="5"/>
      <c r="S721" s="4"/>
      <c r="T721" s="5"/>
    </row>
    <row r="722" ht="15.75" customHeight="1">
      <c r="M722" s="4"/>
      <c r="N722" s="5"/>
      <c r="S722" s="4"/>
      <c r="T722" s="5"/>
    </row>
    <row r="723" ht="15.75" customHeight="1">
      <c r="M723" s="4"/>
      <c r="N723" s="5"/>
      <c r="S723" s="4"/>
      <c r="T723" s="5"/>
    </row>
    <row r="724" ht="15.75" customHeight="1">
      <c r="M724" s="4"/>
      <c r="N724" s="5"/>
      <c r="S724" s="4"/>
      <c r="T724" s="5"/>
    </row>
    <row r="725" ht="15.75" customHeight="1">
      <c r="M725" s="4"/>
      <c r="N725" s="5"/>
      <c r="S725" s="4"/>
      <c r="T725" s="5"/>
    </row>
    <row r="726" ht="15.75" customHeight="1">
      <c r="M726" s="4"/>
      <c r="N726" s="5"/>
      <c r="S726" s="4"/>
      <c r="T726" s="5"/>
    </row>
    <row r="727" ht="15.75" customHeight="1">
      <c r="M727" s="4"/>
      <c r="N727" s="5"/>
      <c r="S727" s="4"/>
      <c r="T727" s="5"/>
    </row>
    <row r="728" ht="15.75" customHeight="1">
      <c r="M728" s="4"/>
      <c r="N728" s="5"/>
      <c r="S728" s="4"/>
      <c r="T728" s="5"/>
    </row>
    <row r="729" ht="15.75" customHeight="1">
      <c r="M729" s="4"/>
      <c r="N729" s="5"/>
      <c r="S729" s="4"/>
      <c r="T729" s="5"/>
    </row>
    <row r="730" ht="15.75" customHeight="1">
      <c r="M730" s="4"/>
      <c r="N730" s="5"/>
      <c r="S730" s="4"/>
      <c r="T730" s="5"/>
    </row>
    <row r="731" ht="15.75" customHeight="1">
      <c r="M731" s="4"/>
      <c r="N731" s="5"/>
      <c r="S731" s="4"/>
      <c r="T731" s="5"/>
    </row>
    <row r="732" ht="15.75" customHeight="1">
      <c r="M732" s="4"/>
      <c r="N732" s="5"/>
      <c r="S732" s="4"/>
      <c r="T732" s="5"/>
    </row>
    <row r="733" ht="15.75" customHeight="1">
      <c r="M733" s="4"/>
      <c r="N733" s="5"/>
      <c r="S733" s="4"/>
      <c r="T733" s="5"/>
    </row>
    <row r="734" ht="15.75" customHeight="1">
      <c r="M734" s="4"/>
      <c r="N734" s="5"/>
      <c r="S734" s="4"/>
      <c r="T734" s="5"/>
    </row>
    <row r="735" ht="15.75" customHeight="1">
      <c r="M735" s="4"/>
      <c r="N735" s="5"/>
      <c r="S735" s="4"/>
      <c r="T735" s="5"/>
    </row>
    <row r="736" ht="15.75" customHeight="1">
      <c r="M736" s="4"/>
      <c r="N736" s="5"/>
      <c r="S736" s="4"/>
      <c r="T736" s="5"/>
    </row>
    <row r="737" ht="15.75" customHeight="1">
      <c r="M737" s="4"/>
      <c r="N737" s="5"/>
      <c r="S737" s="4"/>
      <c r="T737" s="5"/>
    </row>
    <row r="738" ht="15.75" customHeight="1">
      <c r="M738" s="4"/>
      <c r="N738" s="5"/>
      <c r="S738" s="4"/>
      <c r="T738" s="5"/>
    </row>
    <row r="739" ht="15.75" customHeight="1">
      <c r="M739" s="4"/>
      <c r="N739" s="5"/>
      <c r="S739" s="4"/>
      <c r="T739" s="5"/>
    </row>
    <row r="740" ht="15.75" customHeight="1">
      <c r="M740" s="4"/>
      <c r="N740" s="5"/>
      <c r="S740" s="4"/>
      <c r="T740" s="5"/>
    </row>
    <row r="741" ht="15.75" customHeight="1">
      <c r="M741" s="4"/>
      <c r="N741" s="5"/>
      <c r="S741" s="4"/>
      <c r="T741" s="5"/>
    </row>
    <row r="742" ht="15.75" customHeight="1">
      <c r="M742" s="4"/>
      <c r="N742" s="5"/>
      <c r="S742" s="4"/>
      <c r="T742" s="5"/>
    </row>
    <row r="743" ht="15.75" customHeight="1">
      <c r="M743" s="4"/>
      <c r="N743" s="5"/>
      <c r="S743" s="4"/>
      <c r="T743" s="5"/>
    </row>
    <row r="744" ht="15.75" customHeight="1">
      <c r="M744" s="4"/>
      <c r="N744" s="5"/>
      <c r="S744" s="4"/>
      <c r="T744" s="5"/>
    </row>
    <row r="745" ht="15.75" customHeight="1">
      <c r="M745" s="4"/>
      <c r="N745" s="5"/>
      <c r="S745" s="4"/>
      <c r="T745" s="5"/>
    </row>
    <row r="746" ht="15.75" customHeight="1">
      <c r="M746" s="4"/>
      <c r="N746" s="5"/>
      <c r="S746" s="4"/>
      <c r="T746" s="5"/>
    </row>
    <row r="747" ht="15.75" customHeight="1">
      <c r="M747" s="4"/>
      <c r="N747" s="5"/>
      <c r="S747" s="4"/>
      <c r="T747" s="5"/>
    </row>
    <row r="748" ht="15.75" customHeight="1">
      <c r="M748" s="4"/>
      <c r="N748" s="5"/>
      <c r="S748" s="4"/>
      <c r="T748" s="5"/>
    </row>
    <row r="749" ht="15.75" customHeight="1">
      <c r="M749" s="4"/>
      <c r="N749" s="5"/>
      <c r="S749" s="4"/>
      <c r="T749" s="5"/>
    </row>
    <row r="750" ht="15.75" customHeight="1">
      <c r="M750" s="4"/>
      <c r="N750" s="5"/>
      <c r="S750" s="4"/>
      <c r="T750" s="5"/>
    </row>
    <row r="751" ht="15.75" customHeight="1">
      <c r="M751" s="4"/>
      <c r="N751" s="5"/>
      <c r="S751" s="4"/>
      <c r="T751" s="5"/>
    </row>
    <row r="752" ht="15.75" customHeight="1">
      <c r="M752" s="4"/>
      <c r="N752" s="5"/>
      <c r="S752" s="4"/>
      <c r="T752" s="5"/>
    </row>
    <row r="753" ht="15.75" customHeight="1">
      <c r="M753" s="4"/>
      <c r="N753" s="5"/>
      <c r="S753" s="4"/>
      <c r="T753" s="5"/>
    </row>
    <row r="754" ht="15.75" customHeight="1">
      <c r="M754" s="4"/>
      <c r="N754" s="5"/>
      <c r="S754" s="4"/>
      <c r="T754" s="5"/>
    </row>
    <row r="755" ht="15.75" customHeight="1">
      <c r="M755" s="4"/>
      <c r="N755" s="5"/>
      <c r="S755" s="4"/>
      <c r="T755" s="5"/>
    </row>
    <row r="756" ht="15.75" customHeight="1">
      <c r="M756" s="4"/>
      <c r="N756" s="5"/>
      <c r="S756" s="4"/>
      <c r="T756" s="5"/>
    </row>
    <row r="757" ht="15.75" customHeight="1">
      <c r="M757" s="4"/>
      <c r="N757" s="5"/>
      <c r="S757" s="4"/>
      <c r="T757" s="5"/>
    </row>
    <row r="758" ht="15.75" customHeight="1">
      <c r="M758" s="4"/>
      <c r="N758" s="5"/>
      <c r="S758" s="4"/>
      <c r="T758" s="5"/>
    </row>
    <row r="759" ht="15.75" customHeight="1">
      <c r="M759" s="4"/>
      <c r="N759" s="5"/>
      <c r="S759" s="4"/>
      <c r="T759" s="5"/>
    </row>
    <row r="760" ht="15.75" customHeight="1">
      <c r="M760" s="4"/>
      <c r="N760" s="5"/>
      <c r="S760" s="4"/>
      <c r="T760" s="5"/>
    </row>
    <row r="761" ht="15.75" customHeight="1">
      <c r="M761" s="4"/>
      <c r="N761" s="5"/>
      <c r="S761" s="4"/>
      <c r="T761" s="5"/>
    </row>
    <row r="762" ht="15.75" customHeight="1">
      <c r="M762" s="4"/>
      <c r="N762" s="5"/>
      <c r="S762" s="4"/>
      <c r="T762" s="5"/>
    </row>
    <row r="763" ht="15.75" customHeight="1">
      <c r="M763" s="4"/>
      <c r="N763" s="5"/>
      <c r="S763" s="4"/>
      <c r="T763" s="5"/>
    </row>
    <row r="764" ht="15.75" customHeight="1">
      <c r="M764" s="4"/>
      <c r="N764" s="5"/>
      <c r="S764" s="4"/>
      <c r="T764" s="5"/>
    </row>
    <row r="765" ht="15.75" customHeight="1">
      <c r="M765" s="4"/>
      <c r="N765" s="5"/>
      <c r="S765" s="4"/>
      <c r="T765" s="5"/>
    </row>
    <row r="766" ht="15.75" customHeight="1">
      <c r="M766" s="4"/>
      <c r="N766" s="5"/>
      <c r="S766" s="4"/>
      <c r="T766" s="5"/>
    </row>
    <row r="767" ht="15.75" customHeight="1">
      <c r="M767" s="4"/>
      <c r="N767" s="5"/>
      <c r="S767" s="4"/>
      <c r="T767" s="5"/>
    </row>
    <row r="768" ht="15.75" customHeight="1">
      <c r="M768" s="4"/>
      <c r="N768" s="5"/>
      <c r="S768" s="4"/>
      <c r="T768" s="5"/>
    </row>
    <row r="769" ht="15.75" customHeight="1">
      <c r="M769" s="4"/>
      <c r="N769" s="5"/>
      <c r="S769" s="4"/>
      <c r="T769" s="5"/>
    </row>
    <row r="770" ht="15.75" customHeight="1">
      <c r="M770" s="4"/>
      <c r="N770" s="5"/>
      <c r="S770" s="4"/>
      <c r="T770" s="5"/>
    </row>
    <row r="771" ht="15.75" customHeight="1">
      <c r="M771" s="4"/>
      <c r="N771" s="5"/>
      <c r="S771" s="4"/>
      <c r="T771" s="5"/>
    </row>
    <row r="772" ht="15.75" customHeight="1">
      <c r="M772" s="4"/>
      <c r="N772" s="5"/>
      <c r="S772" s="4"/>
      <c r="T772" s="5"/>
    </row>
    <row r="773" ht="15.75" customHeight="1">
      <c r="M773" s="4"/>
      <c r="N773" s="5"/>
      <c r="S773" s="4"/>
      <c r="T773" s="5"/>
    </row>
    <row r="774" ht="15.75" customHeight="1">
      <c r="M774" s="4"/>
      <c r="N774" s="5"/>
      <c r="S774" s="4"/>
      <c r="T774" s="5"/>
    </row>
    <row r="775" ht="15.75" customHeight="1">
      <c r="M775" s="4"/>
      <c r="N775" s="5"/>
      <c r="S775" s="4"/>
      <c r="T775" s="5"/>
    </row>
    <row r="776" ht="15.75" customHeight="1">
      <c r="M776" s="4"/>
      <c r="N776" s="5"/>
      <c r="S776" s="4"/>
      <c r="T776" s="5"/>
    </row>
    <row r="777" ht="15.75" customHeight="1">
      <c r="M777" s="4"/>
      <c r="N777" s="5"/>
      <c r="S777" s="4"/>
      <c r="T777" s="5"/>
    </row>
    <row r="778" ht="15.75" customHeight="1">
      <c r="M778" s="4"/>
      <c r="N778" s="5"/>
      <c r="S778" s="4"/>
      <c r="T778" s="5"/>
    </row>
    <row r="779" ht="15.75" customHeight="1">
      <c r="M779" s="4"/>
      <c r="N779" s="5"/>
      <c r="S779" s="4"/>
      <c r="T779" s="5"/>
    </row>
    <row r="780" ht="15.75" customHeight="1">
      <c r="M780" s="4"/>
      <c r="N780" s="5"/>
      <c r="S780" s="4"/>
      <c r="T780" s="5"/>
    </row>
    <row r="781" ht="15.75" customHeight="1">
      <c r="M781" s="4"/>
      <c r="N781" s="5"/>
      <c r="S781" s="4"/>
      <c r="T781" s="5"/>
    </row>
    <row r="782" ht="15.75" customHeight="1">
      <c r="M782" s="4"/>
      <c r="N782" s="5"/>
      <c r="S782" s="4"/>
      <c r="T782" s="5"/>
    </row>
    <row r="783" ht="15.75" customHeight="1">
      <c r="M783" s="4"/>
      <c r="N783" s="5"/>
      <c r="S783" s="4"/>
      <c r="T783" s="5"/>
    </row>
    <row r="784" ht="15.75" customHeight="1">
      <c r="M784" s="4"/>
      <c r="N784" s="5"/>
      <c r="S784" s="4"/>
      <c r="T784" s="5"/>
    </row>
    <row r="785" ht="15.75" customHeight="1">
      <c r="M785" s="4"/>
      <c r="N785" s="5"/>
      <c r="S785" s="4"/>
      <c r="T785" s="5"/>
    </row>
    <row r="786" ht="15.75" customHeight="1">
      <c r="M786" s="4"/>
      <c r="N786" s="5"/>
      <c r="S786" s="4"/>
      <c r="T786" s="5"/>
    </row>
    <row r="787" ht="15.75" customHeight="1">
      <c r="M787" s="4"/>
      <c r="N787" s="5"/>
      <c r="S787" s="4"/>
      <c r="T787" s="5"/>
    </row>
    <row r="788" ht="15.75" customHeight="1">
      <c r="M788" s="4"/>
      <c r="N788" s="5"/>
      <c r="S788" s="4"/>
      <c r="T788" s="5"/>
    </row>
    <row r="789" ht="15.75" customHeight="1">
      <c r="M789" s="4"/>
      <c r="N789" s="5"/>
      <c r="S789" s="4"/>
      <c r="T789" s="5"/>
    </row>
    <row r="790" ht="15.75" customHeight="1">
      <c r="M790" s="4"/>
      <c r="N790" s="5"/>
      <c r="S790" s="4"/>
      <c r="T790" s="5"/>
    </row>
    <row r="791" ht="15.75" customHeight="1">
      <c r="M791" s="4"/>
      <c r="N791" s="5"/>
      <c r="S791" s="4"/>
      <c r="T791" s="5"/>
    </row>
    <row r="792" ht="15.75" customHeight="1">
      <c r="M792" s="4"/>
      <c r="N792" s="5"/>
      <c r="S792" s="4"/>
      <c r="T792" s="5"/>
    </row>
    <row r="793" ht="15.75" customHeight="1">
      <c r="M793" s="4"/>
      <c r="N793" s="5"/>
      <c r="S793" s="4"/>
      <c r="T793" s="5"/>
    </row>
    <row r="794" ht="15.75" customHeight="1">
      <c r="M794" s="4"/>
      <c r="N794" s="5"/>
      <c r="S794" s="4"/>
      <c r="T794" s="5"/>
    </row>
    <row r="795" ht="15.75" customHeight="1">
      <c r="M795" s="4"/>
      <c r="N795" s="5"/>
      <c r="S795" s="4"/>
      <c r="T795" s="5"/>
    </row>
    <row r="796" ht="15.75" customHeight="1">
      <c r="M796" s="4"/>
      <c r="N796" s="5"/>
      <c r="S796" s="4"/>
      <c r="T796" s="5"/>
    </row>
    <row r="797" ht="15.75" customHeight="1">
      <c r="M797" s="4"/>
      <c r="N797" s="5"/>
      <c r="S797" s="4"/>
      <c r="T797" s="5"/>
    </row>
    <row r="798" ht="15.75" customHeight="1">
      <c r="M798" s="4"/>
      <c r="N798" s="5"/>
      <c r="S798" s="4"/>
      <c r="T798" s="5"/>
    </row>
    <row r="799" ht="15.75" customHeight="1">
      <c r="M799" s="4"/>
      <c r="N799" s="5"/>
      <c r="S799" s="4"/>
      <c r="T799" s="5"/>
    </row>
    <row r="800" ht="15.75" customHeight="1">
      <c r="M800" s="4"/>
      <c r="N800" s="5"/>
      <c r="S800" s="4"/>
      <c r="T800" s="5"/>
    </row>
    <row r="801" ht="15.75" customHeight="1">
      <c r="M801" s="4"/>
      <c r="N801" s="5"/>
      <c r="S801" s="4"/>
      <c r="T801" s="5"/>
    </row>
    <row r="802" ht="15.75" customHeight="1">
      <c r="M802" s="4"/>
      <c r="N802" s="5"/>
      <c r="S802" s="4"/>
      <c r="T802" s="5"/>
    </row>
    <row r="803" ht="15.75" customHeight="1">
      <c r="M803" s="4"/>
      <c r="N803" s="5"/>
      <c r="S803" s="4"/>
      <c r="T803" s="5"/>
    </row>
    <row r="804" ht="15.75" customHeight="1">
      <c r="M804" s="4"/>
      <c r="N804" s="5"/>
      <c r="S804" s="4"/>
      <c r="T804" s="5"/>
    </row>
    <row r="805" ht="15.75" customHeight="1">
      <c r="M805" s="4"/>
      <c r="N805" s="5"/>
      <c r="S805" s="4"/>
      <c r="T805" s="5"/>
    </row>
    <row r="806" ht="15.75" customHeight="1">
      <c r="M806" s="4"/>
      <c r="N806" s="5"/>
      <c r="S806" s="4"/>
      <c r="T806" s="5"/>
    </row>
    <row r="807" ht="15.75" customHeight="1">
      <c r="M807" s="4"/>
      <c r="N807" s="5"/>
      <c r="S807" s="4"/>
      <c r="T807" s="5"/>
    </row>
    <row r="808" ht="15.75" customHeight="1">
      <c r="M808" s="4"/>
      <c r="N808" s="5"/>
      <c r="S808" s="4"/>
      <c r="T808" s="5"/>
    </row>
    <row r="809" ht="15.75" customHeight="1">
      <c r="M809" s="4"/>
      <c r="N809" s="5"/>
      <c r="S809" s="4"/>
      <c r="T809" s="5"/>
    </row>
    <row r="810" ht="15.75" customHeight="1">
      <c r="M810" s="4"/>
      <c r="N810" s="5"/>
      <c r="S810" s="4"/>
      <c r="T810" s="5"/>
    </row>
    <row r="811" ht="15.75" customHeight="1">
      <c r="M811" s="4"/>
      <c r="N811" s="5"/>
      <c r="S811" s="4"/>
      <c r="T811" s="5"/>
    </row>
    <row r="812" ht="15.75" customHeight="1">
      <c r="M812" s="4"/>
      <c r="N812" s="5"/>
      <c r="S812" s="4"/>
      <c r="T812" s="5"/>
    </row>
    <row r="813" ht="15.75" customHeight="1">
      <c r="M813" s="4"/>
      <c r="N813" s="5"/>
      <c r="S813" s="4"/>
      <c r="T813" s="5"/>
    </row>
    <row r="814" ht="15.75" customHeight="1">
      <c r="M814" s="4"/>
      <c r="N814" s="5"/>
      <c r="S814" s="4"/>
      <c r="T814" s="5"/>
    </row>
    <row r="815" ht="15.75" customHeight="1">
      <c r="M815" s="4"/>
      <c r="N815" s="5"/>
      <c r="S815" s="4"/>
      <c r="T815" s="5"/>
    </row>
    <row r="816" ht="15.75" customHeight="1">
      <c r="M816" s="4"/>
      <c r="N816" s="5"/>
      <c r="S816" s="4"/>
      <c r="T816" s="5"/>
    </row>
    <row r="817" ht="15.75" customHeight="1">
      <c r="M817" s="4"/>
      <c r="N817" s="5"/>
      <c r="S817" s="4"/>
      <c r="T817" s="5"/>
    </row>
    <row r="818" ht="15.75" customHeight="1">
      <c r="M818" s="4"/>
      <c r="N818" s="5"/>
      <c r="S818" s="4"/>
      <c r="T818" s="5"/>
    </row>
    <row r="819" ht="15.75" customHeight="1">
      <c r="M819" s="4"/>
      <c r="N819" s="5"/>
      <c r="S819" s="4"/>
      <c r="T819" s="5"/>
    </row>
    <row r="820" ht="15.75" customHeight="1">
      <c r="M820" s="4"/>
      <c r="N820" s="5"/>
      <c r="S820" s="4"/>
      <c r="T820" s="5"/>
    </row>
    <row r="821" ht="15.75" customHeight="1">
      <c r="M821" s="4"/>
      <c r="N821" s="5"/>
      <c r="S821" s="4"/>
      <c r="T821" s="5"/>
    </row>
    <row r="822" ht="15.75" customHeight="1">
      <c r="M822" s="4"/>
      <c r="N822" s="5"/>
      <c r="S822" s="4"/>
      <c r="T822" s="5"/>
    </row>
    <row r="823" ht="15.75" customHeight="1">
      <c r="M823" s="4"/>
      <c r="N823" s="5"/>
      <c r="S823" s="4"/>
      <c r="T823" s="5"/>
    </row>
    <row r="824" ht="15.75" customHeight="1">
      <c r="M824" s="4"/>
      <c r="N824" s="5"/>
      <c r="S824" s="4"/>
      <c r="T824" s="5"/>
    </row>
    <row r="825" ht="15.75" customHeight="1">
      <c r="M825" s="4"/>
      <c r="N825" s="5"/>
      <c r="S825" s="4"/>
      <c r="T825" s="5"/>
    </row>
    <row r="826" ht="15.75" customHeight="1">
      <c r="M826" s="4"/>
      <c r="N826" s="5"/>
      <c r="S826" s="4"/>
      <c r="T826" s="5"/>
    </row>
    <row r="827" ht="15.75" customHeight="1">
      <c r="M827" s="4"/>
      <c r="N827" s="5"/>
      <c r="S827" s="4"/>
      <c r="T827" s="5"/>
    </row>
    <row r="828" ht="15.75" customHeight="1">
      <c r="M828" s="4"/>
      <c r="N828" s="5"/>
      <c r="S828" s="4"/>
      <c r="T828" s="5"/>
    </row>
    <row r="829" ht="15.75" customHeight="1">
      <c r="M829" s="4"/>
      <c r="N829" s="5"/>
      <c r="S829" s="4"/>
      <c r="T829" s="5"/>
    </row>
    <row r="830" ht="15.75" customHeight="1">
      <c r="M830" s="4"/>
      <c r="N830" s="5"/>
      <c r="S830" s="4"/>
      <c r="T830" s="5"/>
    </row>
    <row r="831" ht="15.75" customHeight="1">
      <c r="M831" s="4"/>
      <c r="N831" s="5"/>
      <c r="S831" s="4"/>
      <c r="T831" s="5"/>
    </row>
    <row r="832" ht="15.75" customHeight="1">
      <c r="M832" s="4"/>
      <c r="N832" s="5"/>
      <c r="S832" s="4"/>
      <c r="T832" s="5"/>
    </row>
    <row r="833" ht="15.75" customHeight="1">
      <c r="M833" s="4"/>
      <c r="N833" s="5"/>
      <c r="S833" s="4"/>
      <c r="T833" s="5"/>
    </row>
    <row r="834" ht="15.75" customHeight="1">
      <c r="M834" s="4"/>
      <c r="N834" s="5"/>
      <c r="S834" s="4"/>
      <c r="T834" s="5"/>
    </row>
    <row r="835" ht="15.75" customHeight="1">
      <c r="M835" s="4"/>
      <c r="N835" s="5"/>
      <c r="S835" s="4"/>
      <c r="T835" s="5"/>
    </row>
    <row r="836" ht="15.75" customHeight="1">
      <c r="M836" s="4"/>
      <c r="N836" s="5"/>
      <c r="S836" s="4"/>
      <c r="T836" s="5"/>
    </row>
    <row r="837" ht="15.75" customHeight="1">
      <c r="M837" s="4"/>
      <c r="N837" s="5"/>
      <c r="S837" s="4"/>
      <c r="T837" s="5"/>
    </row>
    <row r="838" ht="15.75" customHeight="1">
      <c r="M838" s="4"/>
      <c r="N838" s="5"/>
      <c r="S838" s="4"/>
      <c r="T838" s="5"/>
    </row>
    <row r="839" ht="15.75" customHeight="1">
      <c r="M839" s="4"/>
      <c r="N839" s="5"/>
      <c r="S839" s="4"/>
      <c r="T839" s="5"/>
    </row>
    <row r="840" ht="15.75" customHeight="1">
      <c r="M840" s="4"/>
      <c r="N840" s="5"/>
      <c r="S840" s="4"/>
      <c r="T840" s="5"/>
    </row>
    <row r="841" ht="15.75" customHeight="1">
      <c r="M841" s="4"/>
      <c r="N841" s="5"/>
      <c r="S841" s="4"/>
      <c r="T841" s="5"/>
    </row>
    <row r="842" ht="15.75" customHeight="1">
      <c r="M842" s="4"/>
      <c r="N842" s="5"/>
      <c r="S842" s="4"/>
      <c r="T842" s="5"/>
    </row>
    <row r="843" ht="15.75" customHeight="1">
      <c r="M843" s="4"/>
      <c r="N843" s="5"/>
      <c r="S843" s="4"/>
      <c r="T843" s="5"/>
    </row>
    <row r="844" ht="15.75" customHeight="1">
      <c r="M844" s="4"/>
      <c r="N844" s="5"/>
      <c r="S844" s="4"/>
      <c r="T844" s="5"/>
    </row>
    <row r="845" ht="15.75" customHeight="1">
      <c r="M845" s="4"/>
      <c r="N845" s="5"/>
      <c r="S845" s="4"/>
      <c r="T845" s="5"/>
    </row>
    <row r="846" ht="15.75" customHeight="1">
      <c r="M846" s="4"/>
      <c r="N846" s="5"/>
      <c r="S846" s="4"/>
      <c r="T846" s="5"/>
    </row>
    <row r="847" ht="15.75" customHeight="1">
      <c r="M847" s="4"/>
      <c r="N847" s="5"/>
      <c r="S847" s="4"/>
      <c r="T847" s="5"/>
    </row>
    <row r="848" ht="15.75" customHeight="1">
      <c r="M848" s="4"/>
      <c r="N848" s="5"/>
      <c r="S848" s="4"/>
      <c r="T848" s="5"/>
    </row>
    <row r="849" ht="15.75" customHeight="1">
      <c r="M849" s="4"/>
      <c r="N849" s="5"/>
      <c r="S849" s="4"/>
      <c r="T849" s="5"/>
    </row>
    <row r="850" ht="15.75" customHeight="1">
      <c r="M850" s="4"/>
      <c r="N850" s="5"/>
      <c r="S850" s="4"/>
      <c r="T850" s="5"/>
    </row>
    <row r="851" ht="15.75" customHeight="1">
      <c r="M851" s="4"/>
      <c r="N851" s="5"/>
      <c r="S851" s="4"/>
      <c r="T851" s="5"/>
    </row>
    <row r="852" ht="15.75" customHeight="1">
      <c r="M852" s="4"/>
      <c r="N852" s="5"/>
      <c r="S852" s="4"/>
      <c r="T852" s="5"/>
    </row>
    <row r="853" ht="15.75" customHeight="1">
      <c r="M853" s="4"/>
      <c r="N853" s="5"/>
      <c r="S853" s="4"/>
      <c r="T853" s="5"/>
    </row>
    <row r="854" ht="15.75" customHeight="1">
      <c r="M854" s="4"/>
      <c r="N854" s="5"/>
      <c r="S854" s="4"/>
      <c r="T854" s="5"/>
    </row>
    <row r="855" ht="15.75" customHeight="1">
      <c r="M855" s="4"/>
      <c r="N855" s="5"/>
      <c r="S855" s="4"/>
      <c r="T855" s="5"/>
    </row>
    <row r="856" ht="15.75" customHeight="1">
      <c r="M856" s="4"/>
      <c r="N856" s="5"/>
      <c r="S856" s="4"/>
      <c r="T856" s="5"/>
    </row>
    <row r="857" ht="15.75" customHeight="1">
      <c r="M857" s="4"/>
      <c r="N857" s="5"/>
      <c r="S857" s="4"/>
      <c r="T857" s="5"/>
    </row>
    <row r="858" ht="15.75" customHeight="1">
      <c r="M858" s="4"/>
      <c r="N858" s="5"/>
      <c r="S858" s="4"/>
      <c r="T858" s="5"/>
    </row>
    <row r="859" ht="15.75" customHeight="1">
      <c r="M859" s="4"/>
      <c r="N859" s="5"/>
      <c r="S859" s="4"/>
      <c r="T859" s="5"/>
    </row>
    <row r="860" ht="15.75" customHeight="1">
      <c r="M860" s="4"/>
      <c r="N860" s="5"/>
      <c r="S860" s="4"/>
      <c r="T860" s="5"/>
    </row>
    <row r="861" ht="15.75" customHeight="1">
      <c r="M861" s="4"/>
      <c r="N861" s="5"/>
      <c r="S861" s="4"/>
      <c r="T861" s="5"/>
    </row>
    <row r="862" ht="15.75" customHeight="1">
      <c r="M862" s="4"/>
      <c r="N862" s="5"/>
      <c r="S862" s="4"/>
      <c r="T862" s="5"/>
    </row>
    <row r="863" ht="15.75" customHeight="1">
      <c r="M863" s="4"/>
      <c r="N863" s="5"/>
      <c r="S863" s="4"/>
      <c r="T863" s="5"/>
    </row>
    <row r="864" ht="15.75" customHeight="1">
      <c r="M864" s="4"/>
      <c r="N864" s="5"/>
      <c r="S864" s="4"/>
      <c r="T864" s="5"/>
    </row>
    <row r="865" ht="15.75" customHeight="1">
      <c r="M865" s="4"/>
      <c r="N865" s="5"/>
      <c r="S865" s="4"/>
      <c r="T865" s="5"/>
    </row>
    <row r="866" ht="15.75" customHeight="1">
      <c r="M866" s="4"/>
      <c r="N866" s="5"/>
      <c r="S866" s="4"/>
      <c r="T866" s="5"/>
    </row>
    <row r="867" ht="15.75" customHeight="1">
      <c r="M867" s="4"/>
      <c r="N867" s="5"/>
      <c r="S867" s="4"/>
      <c r="T867" s="5"/>
    </row>
    <row r="868" ht="15.75" customHeight="1">
      <c r="M868" s="4"/>
      <c r="N868" s="5"/>
      <c r="S868" s="4"/>
      <c r="T868" s="5"/>
    </row>
    <row r="869" ht="15.75" customHeight="1">
      <c r="M869" s="4"/>
      <c r="N869" s="5"/>
      <c r="S869" s="4"/>
      <c r="T869" s="5"/>
    </row>
    <row r="870" ht="15.75" customHeight="1">
      <c r="M870" s="4"/>
      <c r="N870" s="5"/>
      <c r="S870" s="4"/>
      <c r="T870" s="5"/>
    </row>
    <row r="871" ht="15.75" customHeight="1">
      <c r="M871" s="4"/>
      <c r="N871" s="5"/>
      <c r="S871" s="4"/>
      <c r="T871" s="5"/>
    </row>
    <row r="872" ht="15.75" customHeight="1">
      <c r="M872" s="4"/>
      <c r="N872" s="5"/>
      <c r="S872" s="4"/>
      <c r="T872" s="5"/>
    </row>
    <row r="873" ht="15.75" customHeight="1">
      <c r="M873" s="4"/>
      <c r="N873" s="5"/>
      <c r="S873" s="4"/>
      <c r="T873" s="5"/>
    </row>
    <row r="874" ht="15.75" customHeight="1">
      <c r="M874" s="4"/>
      <c r="N874" s="5"/>
      <c r="S874" s="4"/>
      <c r="T874" s="5"/>
    </row>
    <row r="875" ht="15.75" customHeight="1">
      <c r="M875" s="4"/>
      <c r="N875" s="5"/>
      <c r="S875" s="4"/>
      <c r="T875" s="5"/>
    </row>
    <row r="876" ht="15.75" customHeight="1">
      <c r="M876" s="4"/>
      <c r="N876" s="5"/>
      <c r="S876" s="4"/>
      <c r="T876" s="5"/>
    </row>
    <row r="877" ht="15.75" customHeight="1">
      <c r="M877" s="4"/>
      <c r="N877" s="5"/>
      <c r="S877" s="4"/>
      <c r="T877" s="5"/>
    </row>
    <row r="878" ht="15.75" customHeight="1">
      <c r="M878" s="4"/>
      <c r="N878" s="5"/>
      <c r="S878" s="4"/>
      <c r="T878" s="5"/>
    </row>
    <row r="879" ht="15.75" customHeight="1">
      <c r="M879" s="4"/>
      <c r="N879" s="5"/>
      <c r="S879" s="4"/>
      <c r="T879" s="5"/>
    </row>
    <row r="880" ht="15.75" customHeight="1">
      <c r="M880" s="4"/>
      <c r="N880" s="5"/>
      <c r="S880" s="4"/>
      <c r="T880" s="5"/>
    </row>
    <row r="881" ht="15.75" customHeight="1">
      <c r="M881" s="4"/>
      <c r="N881" s="5"/>
      <c r="S881" s="4"/>
      <c r="T881" s="5"/>
    </row>
    <row r="882" ht="15.75" customHeight="1">
      <c r="M882" s="4"/>
      <c r="N882" s="5"/>
      <c r="S882" s="4"/>
      <c r="T882" s="5"/>
    </row>
    <row r="883" ht="15.75" customHeight="1">
      <c r="M883" s="4"/>
      <c r="N883" s="5"/>
      <c r="S883" s="4"/>
      <c r="T883" s="5"/>
    </row>
    <row r="884" ht="15.75" customHeight="1">
      <c r="M884" s="4"/>
      <c r="N884" s="5"/>
      <c r="S884" s="4"/>
      <c r="T884" s="5"/>
    </row>
    <row r="885" ht="15.75" customHeight="1">
      <c r="M885" s="4"/>
      <c r="N885" s="5"/>
      <c r="S885" s="4"/>
      <c r="T885" s="5"/>
    </row>
    <row r="886" ht="15.75" customHeight="1">
      <c r="M886" s="4"/>
      <c r="N886" s="5"/>
      <c r="S886" s="4"/>
      <c r="T886" s="5"/>
    </row>
    <row r="887" ht="15.75" customHeight="1">
      <c r="M887" s="4"/>
      <c r="N887" s="5"/>
      <c r="S887" s="4"/>
      <c r="T887" s="5"/>
    </row>
    <row r="888" ht="15.75" customHeight="1">
      <c r="M888" s="4"/>
      <c r="N888" s="5"/>
      <c r="S888" s="4"/>
      <c r="T888" s="5"/>
    </row>
    <row r="889" ht="15.75" customHeight="1">
      <c r="M889" s="4"/>
      <c r="N889" s="5"/>
      <c r="S889" s="4"/>
      <c r="T889" s="5"/>
    </row>
    <row r="890" ht="15.75" customHeight="1">
      <c r="M890" s="4"/>
      <c r="N890" s="5"/>
      <c r="S890" s="4"/>
      <c r="T890" s="5"/>
    </row>
    <row r="891" ht="15.75" customHeight="1">
      <c r="M891" s="4"/>
      <c r="N891" s="5"/>
      <c r="S891" s="4"/>
      <c r="T891" s="5"/>
    </row>
    <row r="892" ht="15.75" customHeight="1">
      <c r="M892" s="4"/>
      <c r="N892" s="5"/>
      <c r="S892" s="4"/>
      <c r="T892" s="5"/>
    </row>
    <row r="893" ht="15.75" customHeight="1">
      <c r="M893" s="4"/>
      <c r="N893" s="5"/>
      <c r="S893" s="4"/>
      <c r="T893" s="5"/>
    </row>
    <row r="894" ht="15.75" customHeight="1">
      <c r="M894" s="4"/>
      <c r="N894" s="5"/>
      <c r="S894" s="4"/>
      <c r="T894" s="5"/>
    </row>
    <row r="895" ht="15.75" customHeight="1">
      <c r="M895" s="4"/>
      <c r="N895" s="5"/>
      <c r="S895" s="4"/>
      <c r="T895" s="5"/>
    </row>
    <row r="896" ht="15.75" customHeight="1">
      <c r="M896" s="4"/>
      <c r="N896" s="5"/>
      <c r="S896" s="4"/>
      <c r="T896" s="5"/>
    </row>
    <row r="897" ht="15.75" customHeight="1">
      <c r="M897" s="4"/>
      <c r="N897" s="5"/>
      <c r="S897" s="4"/>
      <c r="T897" s="5"/>
    </row>
    <row r="898" ht="15.75" customHeight="1">
      <c r="M898" s="4"/>
      <c r="N898" s="5"/>
      <c r="S898" s="4"/>
      <c r="T898" s="5"/>
    </row>
    <row r="899" ht="15.75" customHeight="1">
      <c r="M899" s="4"/>
      <c r="N899" s="5"/>
      <c r="S899" s="4"/>
      <c r="T899" s="5"/>
    </row>
    <row r="900" ht="15.75" customHeight="1">
      <c r="M900" s="4"/>
      <c r="N900" s="5"/>
      <c r="S900" s="4"/>
      <c r="T900" s="5"/>
    </row>
    <row r="901" ht="15.75" customHeight="1">
      <c r="M901" s="4"/>
      <c r="N901" s="5"/>
      <c r="S901" s="4"/>
      <c r="T901" s="5"/>
    </row>
    <row r="902" ht="15.75" customHeight="1">
      <c r="M902" s="4"/>
      <c r="N902" s="5"/>
      <c r="S902" s="4"/>
      <c r="T902" s="5"/>
    </row>
    <row r="903" ht="15.75" customHeight="1">
      <c r="M903" s="4"/>
      <c r="N903" s="5"/>
      <c r="S903" s="4"/>
      <c r="T903" s="5"/>
    </row>
    <row r="904" ht="15.75" customHeight="1">
      <c r="M904" s="4"/>
      <c r="N904" s="5"/>
      <c r="S904" s="4"/>
      <c r="T904" s="5"/>
    </row>
    <row r="905" ht="15.75" customHeight="1">
      <c r="M905" s="4"/>
      <c r="N905" s="5"/>
      <c r="S905" s="4"/>
      <c r="T905" s="5"/>
    </row>
    <row r="906" ht="15.75" customHeight="1">
      <c r="M906" s="4"/>
      <c r="N906" s="5"/>
      <c r="S906" s="4"/>
      <c r="T906" s="5"/>
    </row>
    <row r="907" ht="15.75" customHeight="1">
      <c r="M907" s="4"/>
      <c r="N907" s="5"/>
      <c r="S907" s="4"/>
      <c r="T907" s="5"/>
    </row>
    <row r="908" ht="15.75" customHeight="1">
      <c r="M908" s="4"/>
      <c r="N908" s="5"/>
      <c r="S908" s="4"/>
      <c r="T908" s="5"/>
    </row>
    <row r="909" ht="15.75" customHeight="1">
      <c r="M909" s="4"/>
      <c r="N909" s="5"/>
      <c r="S909" s="4"/>
      <c r="T909" s="5"/>
    </row>
    <row r="910" ht="15.75" customHeight="1">
      <c r="M910" s="4"/>
      <c r="N910" s="5"/>
      <c r="S910" s="4"/>
      <c r="T910" s="5"/>
    </row>
    <row r="911" ht="15.75" customHeight="1">
      <c r="M911" s="4"/>
      <c r="N911" s="5"/>
      <c r="S911" s="4"/>
      <c r="T911" s="5"/>
    </row>
    <row r="912" ht="15.75" customHeight="1">
      <c r="M912" s="4"/>
      <c r="N912" s="5"/>
      <c r="S912" s="4"/>
      <c r="T912" s="5"/>
    </row>
    <row r="913" ht="15.75" customHeight="1">
      <c r="M913" s="4"/>
      <c r="N913" s="5"/>
      <c r="S913" s="4"/>
      <c r="T913" s="5"/>
    </row>
    <row r="914" ht="15.75" customHeight="1">
      <c r="M914" s="4"/>
      <c r="N914" s="5"/>
      <c r="S914" s="4"/>
      <c r="T914" s="5"/>
    </row>
    <row r="915" ht="15.75" customHeight="1">
      <c r="M915" s="4"/>
      <c r="N915" s="5"/>
      <c r="S915" s="4"/>
      <c r="T915" s="5"/>
    </row>
    <row r="916" ht="15.75" customHeight="1">
      <c r="M916" s="4"/>
      <c r="N916" s="5"/>
      <c r="S916" s="4"/>
      <c r="T916" s="5"/>
    </row>
    <row r="917" ht="15.75" customHeight="1">
      <c r="M917" s="4"/>
      <c r="N917" s="5"/>
      <c r="S917" s="4"/>
      <c r="T917" s="5"/>
    </row>
    <row r="918" ht="15.75" customHeight="1">
      <c r="M918" s="4"/>
      <c r="N918" s="5"/>
      <c r="S918" s="4"/>
      <c r="T918" s="5"/>
    </row>
    <row r="919" ht="15.75" customHeight="1">
      <c r="M919" s="4"/>
      <c r="N919" s="5"/>
      <c r="S919" s="4"/>
      <c r="T919" s="5"/>
    </row>
    <row r="920" ht="15.75" customHeight="1">
      <c r="M920" s="4"/>
      <c r="N920" s="5"/>
      <c r="S920" s="4"/>
      <c r="T920" s="5"/>
    </row>
    <row r="921" ht="15.75" customHeight="1">
      <c r="M921" s="4"/>
      <c r="N921" s="5"/>
      <c r="S921" s="4"/>
      <c r="T921" s="5"/>
    </row>
    <row r="922" ht="15.75" customHeight="1">
      <c r="M922" s="4"/>
      <c r="N922" s="5"/>
      <c r="S922" s="4"/>
      <c r="T922" s="5"/>
    </row>
    <row r="923" ht="15.75" customHeight="1">
      <c r="M923" s="4"/>
      <c r="N923" s="5"/>
      <c r="S923" s="4"/>
      <c r="T923" s="5"/>
    </row>
    <row r="924" ht="15.75" customHeight="1">
      <c r="M924" s="4"/>
      <c r="N924" s="5"/>
      <c r="S924" s="4"/>
      <c r="T924" s="5"/>
    </row>
    <row r="925" ht="15.75" customHeight="1">
      <c r="M925" s="4"/>
      <c r="N925" s="5"/>
      <c r="S925" s="4"/>
      <c r="T925" s="5"/>
    </row>
    <row r="926" ht="15.75" customHeight="1">
      <c r="M926" s="4"/>
      <c r="N926" s="5"/>
      <c r="S926" s="4"/>
      <c r="T926" s="5"/>
    </row>
    <row r="927" ht="15.75" customHeight="1">
      <c r="M927" s="4"/>
      <c r="N927" s="5"/>
      <c r="S927" s="4"/>
      <c r="T927" s="5"/>
    </row>
    <row r="928" ht="15.75" customHeight="1">
      <c r="M928" s="4"/>
      <c r="N928" s="5"/>
      <c r="S928" s="4"/>
      <c r="T928" s="5"/>
    </row>
    <row r="929" ht="15.75" customHeight="1">
      <c r="M929" s="4"/>
      <c r="N929" s="5"/>
      <c r="S929" s="4"/>
      <c r="T929" s="5"/>
    </row>
    <row r="930" ht="15.75" customHeight="1">
      <c r="M930" s="4"/>
      <c r="N930" s="5"/>
      <c r="S930" s="4"/>
      <c r="T930" s="5"/>
    </row>
    <row r="931" ht="15.75" customHeight="1">
      <c r="M931" s="4"/>
      <c r="N931" s="5"/>
      <c r="S931" s="4"/>
      <c r="T931" s="5"/>
    </row>
    <row r="932" ht="15.75" customHeight="1">
      <c r="M932" s="4"/>
      <c r="N932" s="5"/>
      <c r="S932" s="4"/>
      <c r="T932" s="5"/>
    </row>
    <row r="933" ht="15.75" customHeight="1">
      <c r="M933" s="4"/>
      <c r="N933" s="5"/>
      <c r="S933" s="4"/>
      <c r="T933" s="5"/>
    </row>
    <row r="934" ht="15.75" customHeight="1">
      <c r="M934" s="4"/>
      <c r="N934" s="5"/>
      <c r="S934" s="4"/>
      <c r="T934" s="5"/>
    </row>
    <row r="935" ht="15.75" customHeight="1">
      <c r="M935" s="4"/>
      <c r="N935" s="5"/>
      <c r="S935" s="4"/>
      <c r="T935" s="5"/>
    </row>
    <row r="936" ht="15.75" customHeight="1">
      <c r="M936" s="4"/>
      <c r="N936" s="5"/>
      <c r="S936" s="4"/>
      <c r="T936" s="5"/>
    </row>
    <row r="937" ht="15.75" customHeight="1">
      <c r="M937" s="4"/>
      <c r="N937" s="5"/>
      <c r="S937" s="4"/>
      <c r="T937" s="5"/>
    </row>
    <row r="938" ht="15.75" customHeight="1">
      <c r="M938" s="4"/>
      <c r="N938" s="5"/>
      <c r="S938" s="4"/>
      <c r="T938" s="5"/>
    </row>
    <row r="939" ht="15.75" customHeight="1">
      <c r="M939" s="4"/>
      <c r="N939" s="5"/>
      <c r="S939" s="4"/>
      <c r="T939" s="5"/>
    </row>
    <row r="940" ht="15.75" customHeight="1">
      <c r="M940" s="4"/>
      <c r="N940" s="5"/>
      <c r="S940" s="4"/>
      <c r="T940" s="5"/>
    </row>
    <row r="941" ht="15.75" customHeight="1">
      <c r="M941" s="4"/>
      <c r="N941" s="5"/>
      <c r="S941" s="4"/>
      <c r="T941" s="5"/>
    </row>
    <row r="942" ht="15.75" customHeight="1">
      <c r="M942" s="4"/>
      <c r="N942" s="5"/>
      <c r="S942" s="4"/>
      <c r="T942" s="5"/>
    </row>
    <row r="943" ht="15.75" customHeight="1">
      <c r="M943" s="4"/>
      <c r="N943" s="5"/>
      <c r="S943" s="4"/>
      <c r="T943" s="5"/>
    </row>
    <row r="944" ht="15.75" customHeight="1">
      <c r="M944" s="4"/>
      <c r="N944" s="5"/>
      <c r="S944" s="4"/>
      <c r="T944" s="5"/>
    </row>
    <row r="945" ht="15.75" customHeight="1">
      <c r="M945" s="4"/>
      <c r="N945" s="5"/>
      <c r="S945" s="4"/>
      <c r="T945" s="5"/>
    </row>
    <row r="946" ht="15.75" customHeight="1">
      <c r="M946" s="4"/>
      <c r="N946" s="5"/>
      <c r="S946" s="4"/>
      <c r="T946" s="5"/>
    </row>
    <row r="947" ht="15.75" customHeight="1">
      <c r="M947" s="4"/>
      <c r="N947" s="5"/>
      <c r="S947" s="4"/>
      <c r="T947" s="5"/>
    </row>
    <row r="948" ht="15.75" customHeight="1">
      <c r="M948" s="4"/>
      <c r="N948" s="5"/>
      <c r="S948" s="4"/>
      <c r="T948" s="5"/>
    </row>
    <row r="949" ht="15.75" customHeight="1">
      <c r="M949" s="4"/>
      <c r="N949" s="5"/>
      <c r="S949" s="4"/>
      <c r="T949" s="5"/>
    </row>
    <row r="950" ht="15.75" customHeight="1">
      <c r="M950" s="4"/>
      <c r="N950" s="5"/>
      <c r="S950" s="4"/>
      <c r="T950" s="5"/>
    </row>
    <row r="951" ht="15.75" customHeight="1">
      <c r="M951" s="4"/>
      <c r="N951" s="5"/>
      <c r="S951" s="4"/>
      <c r="T951" s="5"/>
    </row>
    <row r="952" ht="15.75" customHeight="1">
      <c r="M952" s="4"/>
      <c r="N952" s="5"/>
      <c r="S952" s="4"/>
      <c r="T952" s="5"/>
    </row>
    <row r="953" ht="15.75" customHeight="1">
      <c r="M953" s="4"/>
      <c r="N953" s="5"/>
      <c r="S953" s="4"/>
      <c r="T953" s="5"/>
    </row>
    <row r="954" ht="15.75" customHeight="1">
      <c r="M954" s="4"/>
      <c r="N954" s="5"/>
      <c r="S954" s="4"/>
      <c r="T954" s="5"/>
    </row>
    <row r="955" ht="15.75" customHeight="1">
      <c r="M955" s="4"/>
      <c r="N955" s="5"/>
      <c r="S955" s="4"/>
      <c r="T955" s="5"/>
    </row>
    <row r="956" ht="15.75" customHeight="1">
      <c r="M956" s="4"/>
      <c r="N956" s="5"/>
      <c r="S956" s="4"/>
      <c r="T956" s="5"/>
    </row>
    <row r="957" ht="15.75" customHeight="1">
      <c r="M957" s="4"/>
      <c r="N957" s="5"/>
      <c r="S957" s="4"/>
      <c r="T957" s="5"/>
    </row>
    <row r="958" ht="15.75" customHeight="1">
      <c r="M958" s="4"/>
      <c r="N958" s="5"/>
      <c r="S958" s="4"/>
      <c r="T958" s="5"/>
    </row>
    <row r="959" ht="15.75" customHeight="1">
      <c r="M959" s="4"/>
      <c r="N959" s="5"/>
      <c r="S959" s="4"/>
      <c r="T959" s="5"/>
    </row>
    <row r="960" ht="15.75" customHeight="1">
      <c r="M960" s="4"/>
      <c r="N960" s="5"/>
      <c r="S960" s="4"/>
      <c r="T960" s="5"/>
    </row>
    <row r="961" ht="15.75" customHeight="1">
      <c r="M961" s="4"/>
      <c r="N961" s="5"/>
      <c r="S961" s="4"/>
      <c r="T961" s="5"/>
    </row>
    <row r="962" ht="15.75" customHeight="1">
      <c r="M962" s="4"/>
      <c r="N962" s="5"/>
      <c r="S962" s="4"/>
      <c r="T962" s="5"/>
    </row>
    <row r="963" ht="15.75" customHeight="1">
      <c r="M963" s="4"/>
      <c r="N963" s="5"/>
      <c r="S963" s="4"/>
      <c r="T963" s="5"/>
    </row>
    <row r="964" ht="15.75" customHeight="1">
      <c r="M964" s="4"/>
      <c r="N964" s="5"/>
      <c r="S964" s="4"/>
      <c r="T964" s="5"/>
    </row>
    <row r="965" ht="15.75" customHeight="1">
      <c r="M965" s="4"/>
      <c r="N965" s="5"/>
      <c r="S965" s="4"/>
      <c r="T965" s="5"/>
    </row>
    <row r="966" ht="15.75" customHeight="1">
      <c r="M966" s="4"/>
      <c r="N966" s="5"/>
      <c r="S966" s="4"/>
      <c r="T966" s="5"/>
    </row>
    <row r="967" ht="15.75" customHeight="1">
      <c r="M967" s="4"/>
      <c r="N967" s="5"/>
      <c r="S967" s="4"/>
      <c r="T967" s="5"/>
    </row>
    <row r="968" ht="15.75" customHeight="1">
      <c r="M968" s="4"/>
      <c r="N968" s="5"/>
      <c r="S968" s="4"/>
      <c r="T968" s="5"/>
    </row>
    <row r="969" ht="15.75" customHeight="1">
      <c r="M969" s="4"/>
      <c r="N969" s="5"/>
      <c r="S969" s="4"/>
      <c r="T969" s="5"/>
    </row>
    <row r="970" ht="15.75" customHeight="1">
      <c r="M970" s="4"/>
      <c r="N970" s="5"/>
      <c r="S970" s="4"/>
      <c r="T970" s="5"/>
    </row>
    <row r="971" ht="15.75" customHeight="1">
      <c r="M971" s="4"/>
      <c r="N971" s="5"/>
      <c r="S971" s="4"/>
      <c r="T971" s="5"/>
    </row>
    <row r="972" ht="15.75" customHeight="1">
      <c r="M972" s="4"/>
      <c r="N972" s="5"/>
      <c r="S972" s="4"/>
      <c r="T972" s="5"/>
    </row>
    <row r="973" ht="15.75" customHeight="1">
      <c r="M973" s="4"/>
      <c r="N973" s="5"/>
      <c r="S973" s="4"/>
      <c r="T973" s="5"/>
    </row>
    <row r="974" ht="15.75" customHeight="1">
      <c r="M974" s="4"/>
      <c r="N974" s="5"/>
      <c r="S974" s="4"/>
      <c r="T974" s="5"/>
    </row>
    <row r="975" ht="15.75" customHeight="1">
      <c r="M975" s="4"/>
      <c r="N975" s="5"/>
      <c r="S975" s="4"/>
      <c r="T975" s="5"/>
    </row>
    <row r="976" ht="15.75" customHeight="1">
      <c r="M976" s="4"/>
      <c r="N976" s="5"/>
      <c r="S976" s="4"/>
      <c r="T976" s="5"/>
    </row>
    <row r="977" ht="15.75" customHeight="1">
      <c r="M977" s="4"/>
      <c r="N977" s="5"/>
      <c r="S977" s="4"/>
      <c r="T977" s="5"/>
    </row>
    <row r="978" ht="15.75" customHeight="1">
      <c r="M978" s="4"/>
      <c r="N978" s="5"/>
      <c r="S978" s="4"/>
      <c r="T978" s="5"/>
    </row>
    <row r="979" ht="15.75" customHeight="1">
      <c r="M979" s="4"/>
      <c r="N979" s="5"/>
      <c r="S979" s="4"/>
      <c r="T979" s="5"/>
    </row>
    <row r="980" ht="15.75" customHeight="1">
      <c r="M980" s="4"/>
      <c r="N980" s="5"/>
      <c r="S980" s="4"/>
      <c r="T980" s="5"/>
    </row>
    <row r="981" ht="15.75" customHeight="1">
      <c r="M981" s="4"/>
      <c r="N981" s="5"/>
      <c r="S981" s="4"/>
      <c r="T981" s="5"/>
    </row>
    <row r="982" ht="15.75" customHeight="1">
      <c r="M982" s="4"/>
      <c r="N982" s="5"/>
      <c r="S982" s="4"/>
      <c r="T982" s="5"/>
    </row>
    <row r="983" ht="15.75" customHeight="1">
      <c r="M983" s="4"/>
      <c r="N983" s="5"/>
      <c r="S983" s="4"/>
      <c r="T983" s="5"/>
    </row>
    <row r="984" ht="15.75" customHeight="1">
      <c r="M984" s="4"/>
      <c r="N984" s="5"/>
      <c r="S984" s="4"/>
      <c r="T984" s="5"/>
    </row>
    <row r="985" ht="15.75" customHeight="1">
      <c r="M985" s="4"/>
      <c r="N985" s="5"/>
      <c r="S985" s="4"/>
      <c r="T985" s="5"/>
    </row>
    <row r="986" ht="15.75" customHeight="1">
      <c r="M986" s="4"/>
      <c r="N986" s="5"/>
      <c r="S986" s="4"/>
      <c r="T986" s="5"/>
    </row>
    <row r="987" ht="15.75" customHeight="1">
      <c r="M987" s="4"/>
      <c r="N987" s="5"/>
      <c r="S987" s="4"/>
      <c r="T987" s="5"/>
    </row>
    <row r="988" ht="15.75" customHeight="1">
      <c r="M988" s="4"/>
      <c r="N988" s="5"/>
      <c r="S988" s="4"/>
      <c r="T988" s="5"/>
    </row>
    <row r="989" ht="15.75" customHeight="1">
      <c r="M989" s="4"/>
      <c r="N989" s="5"/>
      <c r="S989" s="4"/>
      <c r="T989" s="5"/>
    </row>
    <row r="990" ht="15.75" customHeight="1">
      <c r="M990" s="4"/>
      <c r="N990" s="5"/>
      <c r="S990" s="4"/>
      <c r="T990" s="5"/>
    </row>
    <row r="991" ht="15.75" customHeight="1">
      <c r="M991" s="4"/>
      <c r="N991" s="5"/>
      <c r="S991" s="4"/>
      <c r="T991" s="5"/>
    </row>
    <row r="992" ht="15.75" customHeight="1">
      <c r="M992" s="4"/>
      <c r="N992" s="5"/>
      <c r="S992" s="4"/>
      <c r="T992" s="5"/>
    </row>
    <row r="993" ht="15.75" customHeight="1">
      <c r="M993" s="4"/>
      <c r="N993" s="5"/>
      <c r="S993" s="4"/>
      <c r="T993" s="5"/>
    </row>
    <row r="994" ht="15.75" customHeight="1">
      <c r="M994" s="4"/>
      <c r="N994" s="5"/>
      <c r="S994" s="4"/>
      <c r="T994" s="5"/>
    </row>
    <row r="995" ht="15.75" customHeight="1">
      <c r="M995" s="4"/>
      <c r="N995" s="5"/>
      <c r="S995" s="4"/>
      <c r="T995" s="5"/>
    </row>
    <row r="996" ht="15.75" customHeight="1">
      <c r="M996" s="4"/>
      <c r="N996" s="5"/>
      <c r="S996" s="4"/>
      <c r="T996" s="5"/>
    </row>
    <row r="997" ht="15.75" customHeight="1">
      <c r="M997" s="4"/>
      <c r="N997" s="5"/>
      <c r="S997" s="4"/>
      <c r="T997" s="5"/>
    </row>
    <row r="998" ht="15.75" customHeight="1">
      <c r="M998" s="4"/>
      <c r="N998" s="5"/>
      <c r="S998" s="4"/>
      <c r="T998" s="5"/>
    </row>
    <row r="999" ht="15.75" customHeight="1">
      <c r="M999" s="4"/>
      <c r="N999" s="5"/>
      <c r="S999" s="4"/>
      <c r="T999" s="5"/>
    </row>
    <row r="1000" ht="15.75" customHeight="1">
      <c r="M1000" s="4"/>
      <c r="N1000" s="5"/>
      <c r="S1000" s="4"/>
      <c r="T1000" s="5"/>
    </row>
  </sheetData>
  <mergeCells count="27">
    <mergeCell ref="B3:H3"/>
    <mergeCell ref="L3:O3"/>
    <mergeCell ref="R3:V3"/>
    <mergeCell ref="L151:M152"/>
    <mergeCell ref="N151:N152"/>
    <mergeCell ref="R151:S152"/>
    <mergeCell ref="T151:T152"/>
    <mergeCell ref="B152:D152"/>
    <mergeCell ref="B153:D153"/>
    <mergeCell ref="L153:M153"/>
    <mergeCell ref="B154:D154"/>
    <mergeCell ref="L154:M154"/>
    <mergeCell ref="B155:D155"/>
    <mergeCell ref="L155:M155"/>
    <mergeCell ref="D176:G176"/>
    <mergeCell ref="D177:G177"/>
    <mergeCell ref="D178:G178"/>
    <mergeCell ref="D179:G179"/>
    <mergeCell ref="D180:G180"/>
    <mergeCell ref="D181:G181"/>
    <mergeCell ref="B156:D156"/>
    <mergeCell ref="D162:G162"/>
    <mergeCell ref="C165:G165"/>
    <mergeCell ref="D168:E168"/>
    <mergeCell ref="D169:E169"/>
    <mergeCell ref="C173:G174"/>
    <mergeCell ref="D175:G175"/>
  </mergeCells>
  <printOptions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86"/>
    <col customWidth="1" min="3" max="3" width="46.71"/>
    <col customWidth="1" min="4" max="4" width="17.29"/>
    <col customWidth="1" min="5" max="5" width="23.86"/>
    <col customWidth="1" min="6" max="6" width="21.71"/>
    <col customWidth="1" min="7" max="7" width="12.14"/>
    <col customWidth="1" min="8" max="8" width="27.0"/>
    <col customWidth="1" min="9" max="11" width="8.86"/>
    <col customWidth="1" min="12" max="12" width="30.43"/>
    <col customWidth="1" min="13" max="13" width="57.71"/>
    <col customWidth="1" min="14" max="14" width="23.29"/>
    <col customWidth="1" min="15" max="15" width="20.29"/>
    <col customWidth="1" min="16" max="16" width="9.29"/>
    <col customWidth="1" min="17" max="26" width="8.86"/>
  </cols>
  <sheetData>
    <row r="1">
      <c r="M1" s="4"/>
      <c r="N1" s="5"/>
    </row>
    <row r="2">
      <c r="M2" s="4"/>
      <c r="N2" s="5"/>
    </row>
    <row r="3" ht="36.75" customHeight="1">
      <c r="A3" s="7" t="s">
        <v>1</v>
      </c>
      <c r="B3" s="215" t="s">
        <v>2</v>
      </c>
      <c r="C3" s="117"/>
      <c r="D3" s="117"/>
      <c r="E3" s="117"/>
      <c r="F3" s="117"/>
      <c r="G3" s="117"/>
      <c r="H3" s="118"/>
      <c r="L3" s="216" t="s">
        <v>3</v>
      </c>
      <c r="M3" s="117"/>
      <c r="N3" s="117"/>
      <c r="O3" s="118"/>
    </row>
    <row r="4">
      <c r="B4" s="217" t="s">
        <v>8</v>
      </c>
      <c r="C4" s="218" t="s">
        <v>9</v>
      </c>
      <c r="D4" s="219" t="s">
        <v>10</v>
      </c>
      <c r="E4" s="220" t="s">
        <v>11</v>
      </c>
      <c r="F4" s="221" t="s">
        <v>12</v>
      </c>
      <c r="G4" s="222" t="s">
        <v>13</v>
      </c>
      <c r="H4" s="223" t="s">
        <v>14</v>
      </c>
      <c r="L4" s="224" t="s">
        <v>15</v>
      </c>
      <c r="M4" s="225" t="s">
        <v>9</v>
      </c>
      <c r="N4" s="226" t="s">
        <v>11</v>
      </c>
      <c r="O4" s="227" t="s">
        <v>16</v>
      </c>
    </row>
    <row r="5">
      <c r="B5" s="228" t="s">
        <v>26</v>
      </c>
      <c r="C5" s="229">
        <v>45602.0</v>
      </c>
      <c r="D5" s="230">
        <v>45602.0</v>
      </c>
      <c r="E5" s="231">
        <v>500.0</v>
      </c>
      <c r="F5" s="232"/>
      <c r="G5" s="233"/>
      <c r="H5" s="234"/>
      <c r="L5" s="235" t="s">
        <v>269</v>
      </c>
      <c r="M5" s="236">
        <v>45604.0</v>
      </c>
      <c r="N5" s="237">
        <v>1000.0</v>
      </c>
      <c r="O5" s="235"/>
    </row>
    <row r="6">
      <c r="B6" s="228" t="s">
        <v>61</v>
      </c>
      <c r="C6" s="229">
        <v>45602.0</v>
      </c>
      <c r="D6" s="230">
        <v>45602.0</v>
      </c>
      <c r="E6" s="231">
        <v>500.0</v>
      </c>
      <c r="F6" s="232"/>
      <c r="G6" s="233"/>
      <c r="H6" s="234"/>
      <c r="L6" s="235" t="s">
        <v>270</v>
      </c>
      <c r="M6" s="236">
        <v>45614.0</v>
      </c>
      <c r="N6" s="237">
        <v>500.0</v>
      </c>
      <c r="O6" s="235"/>
    </row>
    <row r="7">
      <c r="B7" s="228" t="s">
        <v>271</v>
      </c>
      <c r="C7" s="229">
        <v>45604.0</v>
      </c>
      <c r="D7" s="230">
        <v>45604.0</v>
      </c>
      <c r="E7" s="231">
        <v>500.0</v>
      </c>
      <c r="F7" s="232"/>
      <c r="G7" s="233"/>
      <c r="H7" s="234"/>
      <c r="L7" s="235" t="s">
        <v>272</v>
      </c>
      <c r="M7" s="236">
        <v>45616.0</v>
      </c>
      <c r="N7" s="237">
        <v>500.0</v>
      </c>
      <c r="O7" s="235"/>
    </row>
    <row r="8">
      <c r="B8" s="228" t="s">
        <v>133</v>
      </c>
      <c r="C8" s="229">
        <v>45607.0</v>
      </c>
      <c r="D8" s="230">
        <v>45607.0</v>
      </c>
      <c r="E8" s="231">
        <v>500.0</v>
      </c>
      <c r="F8" s="232"/>
      <c r="G8" s="233"/>
      <c r="H8" s="234"/>
      <c r="L8" s="235" t="s">
        <v>273</v>
      </c>
      <c r="M8" s="236">
        <v>45622.0</v>
      </c>
      <c r="N8" s="237">
        <v>2000.0</v>
      </c>
      <c r="O8" s="235"/>
    </row>
    <row r="9">
      <c r="B9" s="228" t="s">
        <v>26</v>
      </c>
      <c r="C9" s="229">
        <v>45609.0</v>
      </c>
      <c r="D9" s="230">
        <v>45609.0</v>
      </c>
      <c r="E9" s="231">
        <v>500.0</v>
      </c>
      <c r="F9" s="232"/>
      <c r="G9" s="233"/>
      <c r="H9" s="234"/>
      <c r="L9" s="238" t="s">
        <v>274</v>
      </c>
      <c r="M9" s="239">
        <v>45623.0</v>
      </c>
      <c r="N9" s="231">
        <v>2000.0</v>
      </c>
      <c r="O9" s="238" t="s">
        <v>275</v>
      </c>
    </row>
    <row r="10">
      <c r="B10" s="228" t="s">
        <v>61</v>
      </c>
      <c r="C10" s="229">
        <v>45610.0</v>
      </c>
      <c r="D10" s="230">
        <v>45610.0</v>
      </c>
      <c r="E10" s="231">
        <v>500.0</v>
      </c>
      <c r="F10" s="232"/>
      <c r="G10" s="233"/>
      <c r="H10" s="234"/>
      <c r="L10" s="235" t="s">
        <v>276</v>
      </c>
      <c r="M10" s="236">
        <v>45639.0</v>
      </c>
      <c r="N10" s="237">
        <v>2500.0</v>
      </c>
      <c r="O10" s="235"/>
    </row>
    <row r="11">
      <c r="B11" s="228" t="s">
        <v>271</v>
      </c>
      <c r="C11" s="229">
        <v>45611.0</v>
      </c>
      <c r="D11" s="230">
        <v>45611.0</v>
      </c>
      <c r="E11" s="231">
        <v>500.0</v>
      </c>
      <c r="F11" s="232"/>
      <c r="G11" s="233"/>
      <c r="H11" s="234"/>
      <c r="L11" s="235" t="s">
        <v>277</v>
      </c>
      <c r="M11" s="236">
        <v>45642.0</v>
      </c>
      <c r="N11" s="237">
        <v>192.0</v>
      </c>
      <c r="O11" s="235"/>
    </row>
    <row r="12">
      <c r="B12" s="228" t="s">
        <v>133</v>
      </c>
      <c r="C12" s="229">
        <v>45614.0</v>
      </c>
      <c r="D12" s="230">
        <v>45614.0</v>
      </c>
      <c r="E12" s="231">
        <v>500.0</v>
      </c>
      <c r="F12" s="232"/>
      <c r="G12" s="233"/>
      <c r="H12" s="234"/>
      <c r="L12" s="235" t="s">
        <v>278</v>
      </c>
      <c r="M12" s="236">
        <v>45644.0</v>
      </c>
      <c r="N12" s="237">
        <v>1500.0</v>
      </c>
      <c r="O12" s="235"/>
    </row>
    <row r="13">
      <c r="B13" s="228" t="s">
        <v>36</v>
      </c>
      <c r="C13" s="229">
        <v>45616.0</v>
      </c>
      <c r="D13" s="230">
        <v>45616.0</v>
      </c>
      <c r="E13" s="231">
        <v>3000.0</v>
      </c>
      <c r="F13" s="232"/>
      <c r="G13" s="233"/>
      <c r="H13" s="234"/>
      <c r="L13" s="240" t="s">
        <v>279</v>
      </c>
      <c r="M13" s="241">
        <v>45646.0</v>
      </c>
      <c r="N13" s="242">
        <v>2000.0</v>
      </c>
      <c r="O13" s="240" t="s">
        <v>280</v>
      </c>
    </row>
    <row r="14">
      <c r="B14" s="228" t="s">
        <v>26</v>
      </c>
      <c r="C14" s="229">
        <v>45616.0</v>
      </c>
      <c r="D14" s="230">
        <v>45616.0</v>
      </c>
      <c r="E14" s="231">
        <v>500.0</v>
      </c>
      <c r="F14" s="232"/>
      <c r="G14" s="233"/>
      <c r="H14" s="234"/>
      <c r="L14" s="235" t="s">
        <v>281</v>
      </c>
      <c r="M14" s="236">
        <v>45650.0</v>
      </c>
      <c r="N14" s="237">
        <v>187.0</v>
      </c>
      <c r="O14" s="235"/>
    </row>
    <row r="15">
      <c r="B15" s="228" t="s">
        <v>36</v>
      </c>
      <c r="C15" s="229">
        <v>45616.0</v>
      </c>
      <c r="D15" s="230">
        <v>45616.0</v>
      </c>
      <c r="E15" s="231">
        <v>500.0</v>
      </c>
      <c r="F15" s="232"/>
      <c r="G15" s="233"/>
      <c r="H15" s="234"/>
      <c r="L15" s="235" t="s">
        <v>282</v>
      </c>
      <c r="M15" s="236">
        <v>45668.0</v>
      </c>
      <c r="N15" s="237">
        <v>2500.0</v>
      </c>
      <c r="O15" s="235"/>
    </row>
    <row r="16">
      <c r="B16" s="228" t="s">
        <v>61</v>
      </c>
      <c r="C16" s="229">
        <v>45616.0</v>
      </c>
      <c r="D16" s="230">
        <v>45616.0</v>
      </c>
      <c r="E16" s="231">
        <v>350.0</v>
      </c>
      <c r="F16" s="232"/>
      <c r="G16" s="233"/>
      <c r="H16" s="234"/>
      <c r="L16" s="235" t="s">
        <v>282</v>
      </c>
      <c r="M16" s="236">
        <v>45669.0</v>
      </c>
      <c r="N16" s="237">
        <v>500.0</v>
      </c>
      <c r="O16" s="235"/>
    </row>
    <row r="17">
      <c r="B17" s="228" t="s">
        <v>133</v>
      </c>
      <c r="C17" s="229">
        <v>45621.0</v>
      </c>
      <c r="D17" s="230">
        <v>45621.0</v>
      </c>
      <c r="E17" s="231">
        <v>500.0</v>
      </c>
      <c r="F17" s="232"/>
      <c r="G17" s="233"/>
      <c r="H17" s="234"/>
      <c r="L17" s="235" t="s">
        <v>282</v>
      </c>
      <c r="M17" s="236">
        <v>45670.0</v>
      </c>
      <c r="N17" s="237">
        <v>500.0</v>
      </c>
      <c r="O17" s="235"/>
    </row>
    <row r="18">
      <c r="B18" s="228" t="s">
        <v>26</v>
      </c>
      <c r="C18" s="229">
        <v>45623.0</v>
      </c>
      <c r="D18" s="230">
        <v>45623.0</v>
      </c>
      <c r="E18" s="231">
        <v>500.0</v>
      </c>
      <c r="F18" s="232"/>
      <c r="G18" s="233"/>
      <c r="H18" s="234"/>
      <c r="L18" s="235" t="s">
        <v>282</v>
      </c>
      <c r="M18" s="236">
        <v>45670.0</v>
      </c>
      <c r="N18" s="237">
        <v>500.0</v>
      </c>
      <c r="O18" s="235"/>
    </row>
    <row r="19">
      <c r="B19" s="228" t="s">
        <v>61</v>
      </c>
      <c r="C19" s="229">
        <v>45624.0</v>
      </c>
      <c r="D19" s="230">
        <v>45624.0</v>
      </c>
      <c r="E19" s="231">
        <v>500.0</v>
      </c>
      <c r="F19" s="232"/>
      <c r="G19" s="233"/>
      <c r="H19" s="234"/>
      <c r="L19" s="235" t="s">
        <v>282</v>
      </c>
      <c r="M19" s="236">
        <v>45672.0</v>
      </c>
      <c r="N19" s="237">
        <v>200.0</v>
      </c>
      <c r="O19" s="235"/>
    </row>
    <row r="20">
      <c r="B20" s="228" t="s">
        <v>61</v>
      </c>
      <c r="C20" s="229">
        <v>45598.0</v>
      </c>
      <c r="D20" s="230">
        <v>45628.0</v>
      </c>
      <c r="E20" s="231">
        <v>500.0</v>
      </c>
      <c r="F20" s="232"/>
      <c r="G20" s="233"/>
      <c r="H20" s="234"/>
      <c r="L20" s="235" t="s">
        <v>282</v>
      </c>
      <c r="M20" s="236">
        <v>45673.0</v>
      </c>
      <c r="N20" s="237">
        <v>850.0</v>
      </c>
      <c r="O20" s="234"/>
    </row>
    <row r="21" ht="15.75" customHeight="1">
      <c r="B21" s="228" t="s">
        <v>26</v>
      </c>
      <c r="C21" s="229">
        <v>45630.0</v>
      </c>
      <c r="D21" s="230">
        <v>45630.0</v>
      </c>
      <c r="E21" s="231">
        <v>500.0</v>
      </c>
      <c r="F21" s="232"/>
      <c r="G21" s="233"/>
      <c r="H21" s="234"/>
      <c r="L21" s="228" t="s">
        <v>283</v>
      </c>
      <c r="M21" s="243">
        <v>45676.0</v>
      </c>
      <c r="N21" s="244">
        <v>950.0</v>
      </c>
      <c r="O21" s="245"/>
    </row>
    <row r="22" ht="15.75" customHeight="1">
      <c r="B22" s="228" t="s">
        <v>61</v>
      </c>
      <c r="C22" s="229">
        <v>45630.0</v>
      </c>
      <c r="D22" s="230">
        <v>45630.0</v>
      </c>
      <c r="E22" s="231">
        <v>500.0</v>
      </c>
      <c r="F22" s="232"/>
      <c r="G22" s="233"/>
      <c r="H22" s="234"/>
      <c r="L22" s="235" t="s">
        <v>284</v>
      </c>
      <c r="M22" s="236">
        <v>45677.0</v>
      </c>
      <c r="N22" s="237">
        <v>150.0</v>
      </c>
      <c r="O22" s="234"/>
    </row>
    <row r="23" ht="15.75" customHeight="1">
      <c r="B23" s="228" t="s">
        <v>61</v>
      </c>
      <c r="C23" s="236">
        <v>45632.0</v>
      </c>
      <c r="D23" s="230">
        <v>45632.0</v>
      </c>
      <c r="E23" s="231">
        <v>380.0</v>
      </c>
      <c r="F23" s="232"/>
      <c r="G23" s="233"/>
      <c r="H23" s="234" t="s">
        <v>285</v>
      </c>
      <c r="L23" s="235" t="s">
        <v>286</v>
      </c>
      <c r="M23" s="236">
        <v>45696.0</v>
      </c>
      <c r="N23" s="244">
        <v>1000.0</v>
      </c>
      <c r="O23" s="234"/>
    </row>
    <row r="24" ht="15.75" customHeight="1">
      <c r="B24" s="228" t="s">
        <v>26</v>
      </c>
      <c r="C24" s="229">
        <v>45637.0</v>
      </c>
      <c r="D24" s="230">
        <v>45637.0</v>
      </c>
      <c r="E24" s="231">
        <v>500.0</v>
      </c>
      <c r="F24" s="232"/>
      <c r="G24" s="233"/>
      <c r="H24" s="234"/>
      <c r="L24" s="235" t="s">
        <v>287</v>
      </c>
      <c r="M24" s="236">
        <v>45699.0</v>
      </c>
      <c r="N24" s="244">
        <v>3000.0</v>
      </c>
      <c r="O24" s="234"/>
    </row>
    <row r="25" ht="15.75" customHeight="1">
      <c r="B25" s="228" t="s">
        <v>61</v>
      </c>
      <c r="C25" s="229">
        <v>45642.0</v>
      </c>
      <c r="D25" s="230">
        <v>45642.0</v>
      </c>
      <c r="E25" s="231">
        <v>500.0</v>
      </c>
      <c r="F25" s="246"/>
      <c r="G25" s="233"/>
      <c r="H25" s="234"/>
      <c r="L25" s="235" t="s">
        <v>288</v>
      </c>
      <c r="M25" s="236">
        <v>45699.0</v>
      </c>
      <c r="N25" s="244">
        <v>25.0</v>
      </c>
      <c r="O25" s="234"/>
    </row>
    <row r="26" ht="15.75" customHeight="1">
      <c r="B26" s="228" t="s">
        <v>26</v>
      </c>
      <c r="C26" s="229">
        <v>45644.0</v>
      </c>
      <c r="D26" s="230">
        <v>45644.0</v>
      </c>
      <c r="E26" s="231">
        <v>500.0</v>
      </c>
      <c r="F26" s="246"/>
      <c r="G26" s="233"/>
      <c r="H26" s="234"/>
      <c r="L26" s="235" t="s">
        <v>289</v>
      </c>
      <c r="M26" s="236">
        <v>45702.0</v>
      </c>
      <c r="N26" s="244">
        <v>500.0</v>
      </c>
      <c r="O26" s="234"/>
    </row>
    <row r="27" ht="15.75" customHeight="1">
      <c r="B27" s="228" t="s">
        <v>61</v>
      </c>
      <c r="C27" s="229">
        <v>45644.0</v>
      </c>
      <c r="D27" s="230">
        <v>45644.0</v>
      </c>
      <c r="E27" s="231">
        <v>500.0</v>
      </c>
      <c r="F27" s="246"/>
      <c r="G27" s="233"/>
      <c r="H27" s="234"/>
      <c r="L27" s="235" t="s">
        <v>290</v>
      </c>
      <c r="M27" s="236">
        <v>45707.0</v>
      </c>
      <c r="N27" s="244">
        <v>475.0</v>
      </c>
      <c r="O27" s="234"/>
    </row>
    <row r="28" ht="15.75" customHeight="1">
      <c r="B28" s="228" t="s">
        <v>61</v>
      </c>
      <c r="C28" s="229">
        <v>45310.0</v>
      </c>
      <c r="D28" s="230">
        <v>45645.0</v>
      </c>
      <c r="E28" s="231">
        <v>375.0</v>
      </c>
      <c r="F28" s="246"/>
      <c r="G28" s="233"/>
      <c r="H28" s="234" t="s">
        <v>285</v>
      </c>
      <c r="L28" s="235" t="s">
        <v>291</v>
      </c>
      <c r="M28" s="236">
        <v>45709.0</v>
      </c>
      <c r="N28" s="244">
        <v>1000.0</v>
      </c>
      <c r="O28" s="234"/>
    </row>
    <row r="29" ht="15.75" customHeight="1">
      <c r="B29" s="228" t="s">
        <v>61</v>
      </c>
      <c r="C29" s="229">
        <v>45649.0</v>
      </c>
      <c r="D29" s="230">
        <v>45649.0</v>
      </c>
      <c r="E29" s="231">
        <v>500.0</v>
      </c>
      <c r="F29" s="246"/>
      <c r="G29" s="233"/>
      <c r="H29" s="234"/>
      <c r="L29" s="247" t="s">
        <v>292</v>
      </c>
      <c r="M29" s="236">
        <v>45719.0</v>
      </c>
      <c r="N29" s="237">
        <v>600.0</v>
      </c>
      <c r="O29" s="234"/>
    </row>
    <row r="30" ht="15.75" customHeight="1">
      <c r="B30" s="228" t="s">
        <v>26</v>
      </c>
      <c r="C30" s="229">
        <v>45651.0</v>
      </c>
      <c r="D30" s="230">
        <v>45651.0</v>
      </c>
      <c r="E30" s="231">
        <v>500.0</v>
      </c>
      <c r="F30" s="246"/>
      <c r="G30" s="233"/>
      <c r="H30" s="234"/>
      <c r="L30" s="247" t="s">
        <v>292</v>
      </c>
      <c r="M30" s="236">
        <v>45721.0</v>
      </c>
      <c r="N30" s="237">
        <v>200.0</v>
      </c>
      <c r="O30" s="234"/>
    </row>
    <row r="31" ht="15.75" customHeight="1">
      <c r="B31" s="228" t="s">
        <v>61</v>
      </c>
      <c r="C31" s="229">
        <v>45652.0</v>
      </c>
      <c r="D31" s="230">
        <v>45652.0</v>
      </c>
      <c r="E31" s="231">
        <v>500.0</v>
      </c>
      <c r="F31" s="246"/>
      <c r="G31" s="233"/>
      <c r="H31" s="234"/>
      <c r="L31" s="247" t="s">
        <v>292</v>
      </c>
      <c r="M31" s="236">
        <v>45722.0</v>
      </c>
      <c r="N31" s="237">
        <v>500.0</v>
      </c>
      <c r="O31" s="234"/>
    </row>
    <row r="32" ht="15.75" customHeight="1">
      <c r="B32" s="228" t="s">
        <v>293</v>
      </c>
      <c r="C32" s="229">
        <v>45656.0</v>
      </c>
      <c r="D32" s="230">
        <v>45656.0</v>
      </c>
      <c r="E32" s="231">
        <v>150.0</v>
      </c>
      <c r="F32" s="246"/>
      <c r="G32" s="233"/>
      <c r="H32" s="234" t="s">
        <v>294</v>
      </c>
      <c r="L32" s="247" t="s">
        <v>292</v>
      </c>
      <c r="M32" s="236">
        <v>45726.0</v>
      </c>
      <c r="N32" s="237">
        <v>1000.0</v>
      </c>
      <c r="O32" s="234"/>
    </row>
    <row r="33" ht="15.75" customHeight="1">
      <c r="B33" s="228" t="s">
        <v>61</v>
      </c>
      <c r="C33" s="229">
        <v>45656.0</v>
      </c>
      <c r="D33" s="230">
        <v>45656.0</v>
      </c>
      <c r="E33" s="231">
        <v>500.0</v>
      </c>
      <c r="F33" s="246"/>
      <c r="G33" s="233"/>
      <c r="H33" s="234"/>
      <c r="L33" s="247" t="s">
        <v>292</v>
      </c>
      <c r="M33" s="236">
        <v>45727.0</v>
      </c>
      <c r="N33" s="237">
        <v>50.0</v>
      </c>
      <c r="O33" s="234"/>
    </row>
    <row r="34" ht="15.75" customHeight="1">
      <c r="B34" s="228" t="s">
        <v>61</v>
      </c>
      <c r="C34" s="229">
        <v>45658.0</v>
      </c>
      <c r="D34" s="230">
        <v>45658.0</v>
      </c>
      <c r="E34" s="231">
        <v>375.0</v>
      </c>
      <c r="F34" s="246"/>
      <c r="G34" s="233"/>
      <c r="H34" s="234"/>
      <c r="L34" s="247" t="s">
        <v>292</v>
      </c>
      <c r="M34" s="236">
        <v>45728.0</v>
      </c>
      <c r="N34" s="237">
        <v>500.0</v>
      </c>
      <c r="O34" s="234"/>
    </row>
    <row r="35" ht="15.75" customHeight="1">
      <c r="B35" s="228" t="s">
        <v>295</v>
      </c>
      <c r="C35" s="229">
        <v>45659.0</v>
      </c>
      <c r="D35" s="230">
        <v>45659.0</v>
      </c>
      <c r="E35" s="231">
        <v>150.0</v>
      </c>
      <c r="F35" s="246"/>
      <c r="G35" s="233"/>
      <c r="H35" s="234"/>
      <c r="L35" s="247" t="s">
        <v>292</v>
      </c>
      <c r="M35" s="236">
        <v>45730.0</v>
      </c>
      <c r="N35" s="237">
        <v>1000.0</v>
      </c>
      <c r="O35" s="234"/>
    </row>
    <row r="36" ht="15.75" customHeight="1">
      <c r="B36" s="228" t="s">
        <v>32</v>
      </c>
      <c r="C36" s="229">
        <v>45659.0</v>
      </c>
      <c r="D36" s="230">
        <v>45659.0</v>
      </c>
      <c r="E36" s="231">
        <v>325.0</v>
      </c>
      <c r="F36" s="246"/>
      <c r="G36" s="233"/>
      <c r="H36" s="234"/>
      <c r="L36" s="247" t="s">
        <v>292</v>
      </c>
      <c r="M36" s="236">
        <v>45733.0</v>
      </c>
      <c r="N36" s="237">
        <v>1000.0</v>
      </c>
      <c r="O36" s="234"/>
    </row>
    <row r="37" ht="15.75" customHeight="1">
      <c r="B37" s="228" t="s">
        <v>296</v>
      </c>
      <c r="C37" s="229">
        <v>45660.0</v>
      </c>
      <c r="D37" s="230">
        <v>45660.0</v>
      </c>
      <c r="E37" s="231">
        <v>360.0</v>
      </c>
      <c r="F37" s="246"/>
      <c r="G37" s="233"/>
      <c r="H37" s="234"/>
      <c r="L37" s="247" t="s">
        <v>292</v>
      </c>
      <c r="M37" s="236">
        <v>45736.0</v>
      </c>
      <c r="N37" s="237">
        <v>100.0</v>
      </c>
      <c r="O37" s="234"/>
    </row>
    <row r="38" ht="15.75" customHeight="1">
      <c r="B38" s="228" t="s">
        <v>26</v>
      </c>
      <c r="C38" s="229">
        <v>45665.0</v>
      </c>
      <c r="D38" s="230">
        <v>45665.0</v>
      </c>
      <c r="E38" s="231">
        <v>500.0</v>
      </c>
      <c r="F38" s="246"/>
      <c r="G38" s="233"/>
      <c r="H38" s="234"/>
      <c r="L38" s="247" t="s">
        <v>297</v>
      </c>
      <c r="M38" s="236">
        <v>45738.0</v>
      </c>
      <c r="N38" s="237">
        <v>1050.0</v>
      </c>
      <c r="O38" s="234"/>
    </row>
    <row r="39" ht="15.75" customHeight="1">
      <c r="B39" s="228" t="s">
        <v>61</v>
      </c>
      <c r="C39" s="229">
        <v>45665.0</v>
      </c>
      <c r="D39" s="230">
        <v>45665.0</v>
      </c>
      <c r="E39" s="231">
        <v>375.0</v>
      </c>
      <c r="F39" s="246"/>
      <c r="G39" s="233"/>
      <c r="H39" s="234"/>
      <c r="L39" s="235"/>
      <c r="M39" s="236"/>
      <c r="N39" s="237"/>
      <c r="O39" s="234"/>
    </row>
    <row r="40" ht="15.75" customHeight="1">
      <c r="B40" s="228" t="s">
        <v>32</v>
      </c>
      <c r="C40" s="229">
        <v>45666.0</v>
      </c>
      <c r="D40" s="230">
        <v>45666.0</v>
      </c>
      <c r="E40" s="231">
        <v>320.0</v>
      </c>
      <c r="F40" s="246"/>
      <c r="G40" s="233"/>
      <c r="H40" s="234"/>
      <c r="L40" s="235"/>
      <c r="M40" s="236"/>
      <c r="N40" s="237"/>
      <c r="O40" s="234"/>
    </row>
    <row r="41" ht="15.75" customHeight="1">
      <c r="B41" s="228" t="s">
        <v>298</v>
      </c>
      <c r="C41" s="236">
        <v>45667.0</v>
      </c>
      <c r="D41" s="230">
        <v>45667.0</v>
      </c>
      <c r="E41" s="231">
        <v>500.0</v>
      </c>
      <c r="F41" s="246"/>
      <c r="G41" s="233"/>
      <c r="H41" s="234"/>
      <c r="L41" s="235"/>
      <c r="M41" s="236"/>
      <c r="N41" s="237"/>
      <c r="O41" s="234"/>
    </row>
    <row r="42" ht="15.75" customHeight="1">
      <c r="B42" s="228" t="s">
        <v>32</v>
      </c>
      <c r="C42" s="236">
        <v>45670.0</v>
      </c>
      <c r="D42" s="230">
        <v>45670.0</v>
      </c>
      <c r="E42" s="231">
        <v>320.0</v>
      </c>
      <c r="F42" s="246"/>
      <c r="G42" s="233"/>
      <c r="H42" s="234"/>
      <c r="L42" s="235"/>
      <c r="M42" s="236"/>
      <c r="N42" s="237"/>
      <c r="O42" s="234"/>
    </row>
    <row r="43" ht="15.75" customHeight="1">
      <c r="B43" s="228" t="s">
        <v>298</v>
      </c>
      <c r="C43" s="236">
        <v>45672.0</v>
      </c>
      <c r="D43" s="230">
        <v>45672.0</v>
      </c>
      <c r="E43" s="231">
        <v>375.0</v>
      </c>
      <c r="F43" s="246"/>
      <c r="G43" s="233"/>
      <c r="H43" s="234"/>
      <c r="L43" s="235"/>
      <c r="M43" s="236"/>
      <c r="N43" s="237"/>
      <c r="O43" s="234"/>
    </row>
    <row r="44" ht="15.75" customHeight="1">
      <c r="B44" s="228" t="s">
        <v>26</v>
      </c>
      <c r="C44" s="236">
        <v>45672.0</v>
      </c>
      <c r="D44" s="230">
        <v>45672.0</v>
      </c>
      <c r="E44" s="231">
        <v>500.0</v>
      </c>
      <c r="F44" s="246"/>
      <c r="G44" s="233"/>
      <c r="H44" s="234"/>
      <c r="L44" s="235"/>
      <c r="M44" s="236"/>
      <c r="N44" s="237"/>
      <c r="O44" s="234"/>
    </row>
    <row r="45" ht="15.75" customHeight="1">
      <c r="B45" s="228" t="s">
        <v>61</v>
      </c>
      <c r="C45" s="236">
        <v>45672.0</v>
      </c>
      <c r="D45" s="230">
        <v>45672.0</v>
      </c>
      <c r="E45" s="231">
        <v>500.0</v>
      </c>
      <c r="F45" s="246"/>
      <c r="G45" s="233"/>
      <c r="H45" s="234"/>
      <c r="L45" s="235"/>
      <c r="M45" s="236"/>
      <c r="N45" s="237"/>
      <c r="O45" s="234"/>
      <c r="P45" s="5"/>
    </row>
    <row r="46" ht="15.75" customHeight="1">
      <c r="B46" s="228" t="s">
        <v>32</v>
      </c>
      <c r="C46" s="236">
        <v>45673.0</v>
      </c>
      <c r="D46" s="230">
        <v>45673.0</v>
      </c>
      <c r="E46" s="231">
        <v>500.0</v>
      </c>
      <c r="F46" s="246"/>
      <c r="G46" s="233"/>
      <c r="H46" s="234"/>
      <c r="L46" s="235"/>
      <c r="M46" s="236"/>
      <c r="N46" s="248"/>
      <c r="O46" s="234"/>
    </row>
    <row r="47" ht="15.75" customHeight="1">
      <c r="B47" s="228" t="s">
        <v>36</v>
      </c>
      <c r="C47" s="236">
        <v>45674.0</v>
      </c>
      <c r="D47" s="230">
        <v>45674.0</v>
      </c>
      <c r="E47" s="231">
        <v>200.0</v>
      </c>
      <c r="F47" s="246"/>
      <c r="G47" s="233"/>
      <c r="H47" s="234"/>
      <c r="L47" s="235"/>
      <c r="M47" s="236"/>
      <c r="N47" s="237"/>
      <c r="O47" s="234"/>
    </row>
    <row r="48" ht="15.75" customHeight="1">
      <c r="B48" s="228" t="s">
        <v>298</v>
      </c>
      <c r="C48" s="236">
        <v>45674.0</v>
      </c>
      <c r="D48" s="230">
        <v>45674.0</v>
      </c>
      <c r="E48" s="231">
        <v>350.0</v>
      </c>
      <c r="F48" s="246"/>
      <c r="G48" s="233"/>
      <c r="H48" s="234"/>
      <c r="L48" s="235"/>
      <c r="M48" s="236"/>
      <c r="N48" s="237"/>
      <c r="O48" s="234"/>
    </row>
    <row r="49" ht="15.75" customHeight="1">
      <c r="B49" s="228" t="s">
        <v>61</v>
      </c>
      <c r="C49" s="236">
        <v>45674.0</v>
      </c>
      <c r="D49" s="230">
        <v>45674.0</v>
      </c>
      <c r="E49" s="231">
        <v>370.0</v>
      </c>
      <c r="F49" s="246"/>
      <c r="G49" s="233"/>
      <c r="H49" s="234"/>
      <c r="L49" s="235"/>
      <c r="M49" s="236"/>
      <c r="N49" s="237"/>
      <c r="O49" s="234"/>
    </row>
    <row r="50" ht="15.75" customHeight="1">
      <c r="B50" s="228" t="s">
        <v>32</v>
      </c>
      <c r="C50" s="236">
        <v>45677.0</v>
      </c>
      <c r="D50" s="230">
        <v>45677.0</v>
      </c>
      <c r="E50" s="231">
        <v>490.0</v>
      </c>
      <c r="F50" s="246"/>
      <c r="G50" s="233"/>
      <c r="H50" s="234"/>
      <c r="L50" s="235"/>
      <c r="M50" s="236"/>
      <c r="N50" s="248"/>
      <c r="O50" s="234"/>
    </row>
    <row r="51" ht="15.75" customHeight="1">
      <c r="B51" s="228" t="s">
        <v>26</v>
      </c>
      <c r="C51" s="236">
        <v>45679.0</v>
      </c>
      <c r="D51" s="230">
        <v>45679.0</v>
      </c>
      <c r="E51" s="231">
        <v>500.0</v>
      </c>
      <c r="F51" s="246"/>
      <c r="G51" s="233"/>
      <c r="H51" s="234"/>
      <c r="L51" s="235"/>
      <c r="M51" s="236"/>
      <c r="N51" s="248"/>
      <c r="O51" s="234"/>
    </row>
    <row r="52" ht="15.75" customHeight="1">
      <c r="B52" s="228" t="s">
        <v>32</v>
      </c>
      <c r="C52" s="236">
        <v>45680.0</v>
      </c>
      <c r="D52" s="230">
        <v>45680.0</v>
      </c>
      <c r="E52" s="231">
        <v>330.0</v>
      </c>
      <c r="F52" s="246"/>
      <c r="G52" s="233"/>
      <c r="H52" s="234"/>
      <c r="L52" s="235"/>
      <c r="M52" s="236"/>
      <c r="N52" s="248"/>
      <c r="O52" s="234"/>
    </row>
    <row r="53" ht="15.75" customHeight="1">
      <c r="B53" s="228" t="s">
        <v>32</v>
      </c>
      <c r="C53" s="236">
        <v>45682.0</v>
      </c>
      <c r="D53" s="230">
        <v>45682.0</v>
      </c>
      <c r="E53" s="231">
        <v>500.0</v>
      </c>
      <c r="F53" s="246"/>
      <c r="G53" s="233"/>
      <c r="H53" s="234"/>
      <c r="L53" s="235"/>
      <c r="M53" s="236"/>
      <c r="N53" s="237"/>
      <c r="O53" s="234"/>
    </row>
    <row r="54" ht="15.75" customHeight="1">
      <c r="B54" s="228" t="s">
        <v>32</v>
      </c>
      <c r="C54" s="236">
        <v>45684.0</v>
      </c>
      <c r="D54" s="230">
        <v>45684.0</v>
      </c>
      <c r="E54" s="231">
        <v>490.0</v>
      </c>
      <c r="F54" s="246"/>
      <c r="G54" s="233"/>
      <c r="H54" s="234"/>
      <c r="L54" s="249"/>
      <c r="M54" s="236"/>
      <c r="N54" s="237"/>
      <c r="O54" s="234"/>
    </row>
    <row r="55" ht="15.75" customHeight="1">
      <c r="B55" s="228" t="s">
        <v>26</v>
      </c>
      <c r="C55" s="236">
        <v>45686.0</v>
      </c>
      <c r="D55" s="230">
        <v>45686.0</v>
      </c>
      <c r="E55" s="231">
        <v>500.0</v>
      </c>
      <c r="F55" s="246"/>
      <c r="G55" s="233"/>
      <c r="H55" s="234"/>
      <c r="L55" s="235"/>
      <c r="M55" s="236"/>
      <c r="N55" s="248"/>
      <c r="O55" s="234"/>
    </row>
    <row r="56" ht="15.75" customHeight="1">
      <c r="B56" s="228" t="s">
        <v>61</v>
      </c>
      <c r="C56" s="236">
        <v>45686.0</v>
      </c>
      <c r="D56" s="230">
        <v>45686.0</v>
      </c>
      <c r="E56" s="231">
        <v>500.0</v>
      </c>
      <c r="F56" s="246"/>
      <c r="G56" s="233"/>
      <c r="H56" s="234"/>
      <c r="L56" s="235"/>
      <c r="M56" s="236"/>
      <c r="N56" s="248"/>
      <c r="O56" s="234"/>
    </row>
    <row r="57" ht="15.75" customHeight="1">
      <c r="B57" s="228" t="s">
        <v>299</v>
      </c>
      <c r="C57" s="236">
        <v>45687.0</v>
      </c>
      <c r="D57" s="230">
        <v>45687.0</v>
      </c>
      <c r="E57" s="231">
        <v>200.0</v>
      </c>
      <c r="F57" s="246"/>
      <c r="G57" s="233"/>
      <c r="H57" s="234"/>
      <c r="L57" s="235"/>
      <c r="M57" s="236"/>
      <c r="N57" s="248"/>
      <c r="O57" s="234"/>
    </row>
    <row r="58" ht="15.75" customHeight="1">
      <c r="B58" s="228" t="s">
        <v>32</v>
      </c>
      <c r="C58" s="236">
        <v>45687.0</v>
      </c>
      <c r="D58" s="230">
        <v>45687.0</v>
      </c>
      <c r="E58" s="231">
        <v>505.0</v>
      </c>
      <c r="F58" s="246"/>
      <c r="G58" s="233"/>
      <c r="H58" s="234"/>
      <c r="L58" s="235"/>
      <c r="M58" s="236"/>
      <c r="N58" s="248"/>
      <c r="O58" s="234"/>
    </row>
    <row r="59" ht="15.75" customHeight="1">
      <c r="B59" s="228" t="s">
        <v>61</v>
      </c>
      <c r="C59" s="236">
        <v>45689.0</v>
      </c>
      <c r="D59" s="230">
        <v>45689.0</v>
      </c>
      <c r="E59" s="231">
        <v>500.0</v>
      </c>
      <c r="F59" s="246"/>
      <c r="G59" s="233"/>
      <c r="H59" s="234"/>
      <c r="L59" s="235"/>
      <c r="M59" s="236"/>
      <c r="N59" s="248"/>
      <c r="O59" s="234"/>
    </row>
    <row r="60" ht="15.75" customHeight="1">
      <c r="B60" s="228" t="s">
        <v>61</v>
      </c>
      <c r="C60" s="236">
        <v>45691.0</v>
      </c>
      <c r="D60" s="230">
        <v>45691.0</v>
      </c>
      <c r="E60" s="231">
        <v>370.0</v>
      </c>
      <c r="F60" s="246"/>
      <c r="G60" s="233"/>
      <c r="H60" s="234"/>
      <c r="L60" s="235"/>
      <c r="M60" s="236"/>
      <c r="N60" s="248"/>
      <c r="O60" s="234"/>
    </row>
    <row r="61" ht="15.75" customHeight="1">
      <c r="B61" s="228" t="s">
        <v>26</v>
      </c>
      <c r="C61" s="236">
        <v>45693.0</v>
      </c>
      <c r="D61" s="230">
        <v>45693.0</v>
      </c>
      <c r="E61" s="231">
        <v>250.0</v>
      </c>
      <c r="F61" s="246"/>
      <c r="G61" s="233"/>
      <c r="H61" s="234"/>
      <c r="L61" s="235"/>
      <c r="M61" s="236"/>
      <c r="N61" s="237"/>
      <c r="O61" s="234"/>
    </row>
    <row r="62" ht="15.75" customHeight="1">
      <c r="B62" s="228" t="s">
        <v>26</v>
      </c>
      <c r="C62" s="236">
        <v>45700.0</v>
      </c>
      <c r="D62" s="230">
        <v>45700.0</v>
      </c>
      <c r="E62" s="231">
        <v>500.0</v>
      </c>
      <c r="F62" s="246"/>
      <c r="G62" s="233"/>
      <c r="H62" s="234"/>
      <c r="L62" s="235"/>
      <c r="M62" s="236"/>
      <c r="N62" s="237"/>
      <c r="O62" s="234"/>
    </row>
    <row r="63" ht="15.75" customHeight="1">
      <c r="B63" s="228" t="s">
        <v>32</v>
      </c>
      <c r="C63" s="236">
        <v>45701.0</v>
      </c>
      <c r="D63" s="230">
        <v>45701.0</v>
      </c>
      <c r="E63" s="231">
        <v>430.0</v>
      </c>
      <c r="F63" s="246"/>
      <c r="G63" s="233"/>
      <c r="H63" s="234"/>
      <c r="L63" s="235"/>
      <c r="M63" s="236"/>
      <c r="N63" s="237"/>
      <c r="O63" s="234"/>
    </row>
    <row r="64" ht="15.75" customHeight="1">
      <c r="B64" s="228" t="s">
        <v>61</v>
      </c>
      <c r="C64" s="236">
        <v>45702.0</v>
      </c>
      <c r="D64" s="230">
        <v>45702.0</v>
      </c>
      <c r="E64" s="231">
        <v>375.0</v>
      </c>
      <c r="F64" s="246"/>
      <c r="G64" s="233"/>
      <c r="H64" s="234"/>
      <c r="L64" s="235"/>
      <c r="M64" s="236"/>
      <c r="N64" s="237"/>
      <c r="O64" s="234"/>
    </row>
    <row r="65" ht="15.75" customHeight="1">
      <c r="B65" s="228" t="s">
        <v>61</v>
      </c>
      <c r="C65" s="236">
        <v>45709.0</v>
      </c>
      <c r="D65" s="230">
        <v>45709.0</v>
      </c>
      <c r="E65" s="231">
        <v>350.0</v>
      </c>
      <c r="F65" s="246"/>
      <c r="G65" s="233"/>
      <c r="H65" s="234"/>
      <c r="L65" s="235"/>
      <c r="M65" s="236"/>
      <c r="N65" s="237"/>
      <c r="O65" s="234"/>
    </row>
    <row r="66" ht="15.75" customHeight="1">
      <c r="B66" s="228" t="s">
        <v>61</v>
      </c>
      <c r="C66" s="236">
        <v>45712.0</v>
      </c>
      <c r="D66" s="230">
        <v>45712.0</v>
      </c>
      <c r="E66" s="231">
        <v>380.0</v>
      </c>
      <c r="F66" s="246"/>
      <c r="G66" s="233"/>
      <c r="H66" s="234"/>
      <c r="L66" s="235"/>
      <c r="M66" s="236"/>
      <c r="N66" s="237"/>
      <c r="O66" s="234"/>
    </row>
    <row r="67" ht="15.75" customHeight="1">
      <c r="B67" s="228" t="s">
        <v>26</v>
      </c>
      <c r="C67" s="236">
        <v>45714.0</v>
      </c>
      <c r="D67" s="230">
        <v>45714.0</v>
      </c>
      <c r="E67" s="231">
        <v>500.0</v>
      </c>
      <c r="F67" s="246"/>
      <c r="G67" s="233"/>
      <c r="H67" s="234"/>
      <c r="L67" s="235"/>
      <c r="M67" s="236"/>
      <c r="N67" s="237"/>
      <c r="O67" s="234"/>
    </row>
    <row r="68" ht="15.75" customHeight="1">
      <c r="B68" s="228" t="s">
        <v>61</v>
      </c>
      <c r="C68" s="236">
        <v>45714.0</v>
      </c>
      <c r="D68" s="230">
        <v>45714.0</v>
      </c>
      <c r="E68" s="231">
        <v>440.0</v>
      </c>
      <c r="F68" s="246"/>
      <c r="G68" s="233"/>
      <c r="H68" s="234"/>
      <c r="L68" s="235"/>
      <c r="M68" s="236"/>
      <c r="N68" s="237"/>
      <c r="O68" s="234"/>
    </row>
    <row r="69" ht="15.75" customHeight="1">
      <c r="B69" s="228" t="s">
        <v>32</v>
      </c>
      <c r="C69" s="236">
        <v>45715.0</v>
      </c>
      <c r="D69" s="230">
        <v>45715.0</v>
      </c>
      <c r="E69" s="231">
        <v>355.0</v>
      </c>
      <c r="F69" s="246"/>
      <c r="G69" s="233"/>
      <c r="H69" s="234"/>
      <c r="L69" s="235"/>
      <c r="M69" s="236"/>
      <c r="N69" s="237"/>
      <c r="O69" s="234"/>
    </row>
    <row r="70" ht="15.75" customHeight="1">
      <c r="B70" s="228" t="s">
        <v>61</v>
      </c>
      <c r="C70" s="236">
        <v>45716.0</v>
      </c>
      <c r="D70" s="230">
        <v>45716.0</v>
      </c>
      <c r="E70" s="231">
        <v>440.0</v>
      </c>
      <c r="F70" s="246"/>
      <c r="G70" s="233"/>
      <c r="H70" s="234"/>
      <c r="L70" s="235"/>
      <c r="M70" s="236"/>
      <c r="N70" s="237"/>
      <c r="O70" s="234"/>
    </row>
    <row r="71" ht="15.75" customHeight="1">
      <c r="B71" s="228" t="s">
        <v>32</v>
      </c>
      <c r="C71" s="236">
        <v>45719.0</v>
      </c>
      <c r="D71" s="230">
        <v>45719.0</v>
      </c>
      <c r="E71" s="231">
        <v>500.0</v>
      </c>
      <c r="F71" s="246"/>
      <c r="G71" s="233"/>
      <c r="H71" s="234"/>
      <c r="L71" s="235"/>
      <c r="M71" s="236"/>
      <c r="N71" s="237"/>
      <c r="O71" s="234"/>
    </row>
    <row r="72" ht="15.75" customHeight="1">
      <c r="B72" s="228" t="s">
        <v>61</v>
      </c>
      <c r="C72" s="236">
        <v>45720.0</v>
      </c>
      <c r="D72" s="230">
        <v>45720.0</v>
      </c>
      <c r="E72" s="231">
        <v>380.0</v>
      </c>
      <c r="F72" s="246"/>
      <c r="G72" s="233"/>
      <c r="H72" s="234"/>
      <c r="L72" s="235"/>
      <c r="M72" s="236"/>
      <c r="N72" s="237"/>
      <c r="O72" s="234"/>
    </row>
    <row r="73" ht="15.75" customHeight="1">
      <c r="B73" s="228" t="s">
        <v>26</v>
      </c>
      <c r="C73" s="236">
        <v>45721.0</v>
      </c>
      <c r="D73" s="230">
        <v>45721.0</v>
      </c>
      <c r="E73" s="231">
        <v>500.0</v>
      </c>
      <c r="F73" s="246"/>
      <c r="G73" s="233"/>
      <c r="H73" s="234"/>
      <c r="L73" s="235"/>
      <c r="M73" s="236"/>
      <c r="N73" s="237"/>
      <c r="O73" s="234"/>
    </row>
    <row r="74" ht="15.75" customHeight="1">
      <c r="B74" s="228" t="s">
        <v>61</v>
      </c>
      <c r="C74" s="236">
        <v>45721.0</v>
      </c>
      <c r="D74" s="230">
        <v>45721.0</v>
      </c>
      <c r="E74" s="231">
        <v>375.0</v>
      </c>
      <c r="F74" s="246"/>
      <c r="G74" s="233"/>
      <c r="H74" s="234"/>
      <c r="L74" s="235"/>
      <c r="M74" s="236"/>
      <c r="N74" s="237"/>
      <c r="O74" s="234"/>
    </row>
    <row r="75" ht="15.75" customHeight="1">
      <c r="B75" s="228" t="s">
        <v>32</v>
      </c>
      <c r="C75" s="236">
        <v>45722.0</v>
      </c>
      <c r="D75" s="230">
        <v>45722.0</v>
      </c>
      <c r="E75" s="231">
        <v>485.0</v>
      </c>
      <c r="F75" s="246"/>
      <c r="G75" s="233"/>
      <c r="H75" s="234"/>
      <c r="L75" s="235"/>
      <c r="M75" s="236"/>
      <c r="N75" s="237"/>
      <c r="O75" s="234"/>
    </row>
    <row r="76" ht="15.75" customHeight="1">
      <c r="B76" s="228" t="s">
        <v>271</v>
      </c>
      <c r="C76" s="236">
        <v>45723.0</v>
      </c>
      <c r="D76" s="230">
        <v>45723.0</v>
      </c>
      <c r="E76" s="231">
        <v>500.0</v>
      </c>
      <c r="F76" s="246"/>
      <c r="G76" s="233"/>
      <c r="H76" s="234"/>
      <c r="L76" s="235"/>
      <c r="M76" s="236"/>
      <c r="N76" s="237"/>
      <c r="O76" s="234"/>
    </row>
    <row r="77" ht="15.75" customHeight="1">
      <c r="B77" s="228" t="s">
        <v>300</v>
      </c>
      <c r="C77" s="236">
        <v>45727.0</v>
      </c>
      <c r="D77" s="230">
        <v>45727.0</v>
      </c>
      <c r="E77" s="231">
        <v>500.0</v>
      </c>
      <c r="F77" s="246"/>
      <c r="G77" s="233"/>
      <c r="H77" s="234"/>
      <c r="L77" s="235"/>
      <c r="M77" s="236"/>
      <c r="N77" s="237"/>
      <c r="O77" s="234"/>
    </row>
    <row r="78" ht="15.75" customHeight="1">
      <c r="B78" s="228" t="s">
        <v>26</v>
      </c>
      <c r="C78" s="236">
        <v>45728.0</v>
      </c>
      <c r="D78" s="230">
        <v>45728.0</v>
      </c>
      <c r="E78" s="231">
        <v>500.0</v>
      </c>
      <c r="F78" s="246"/>
      <c r="G78" s="233"/>
      <c r="H78" s="234"/>
      <c r="L78" s="235"/>
      <c r="M78" s="236"/>
      <c r="N78" s="237"/>
      <c r="O78" s="234"/>
    </row>
    <row r="79" ht="15.75" customHeight="1">
      <c r="B79" s="228" t="s">
        <v>61</v>
      </c>
      <c r="C79" s="236">
        <v>45728.0</v>
      </c>
      <c r="D79" s="230">
        <v>45728.0</v>
      </c>
      <c r="E79" s="231">
        <v>375.0</v>
      </c>
      <c r="F79" s="246"/>
      <c r="G79" s="233"/>
      <c r="H79" s="234"/>
      <c r="L79" s="235"/>
      <c r="M79" s="236"/>
      <c r="N79" s="237"/>
      <c r="O79" s="234"/>
    </row>
    <row r="80" ht="15.75" customHeight="1">
      <c r="B80" s="228" t="s">
        <v>32</v>
      </c>
      <c r="C80" s="236">
        <v>45729.0</v>
      </c>
      <c r="D80" s="230">
        <v>45729.0</v>
      </c>
      <c r="E80" s="231">
        <v>480.0</v>
      </c>
      <c r="F80" s="246"/>
      <c r="G80" s="233"/>
      <c r="H80" s="234"/>
      <c r="L80" s="235"/>
      <c r="M80" s="236"/>
      <c r="N80" s="237"/>
      <c r="O80" s="234"/>
    </row>
    <row r="81" ht="15.75" customHeight="1">
      <c r="B81" s="228" t="s">
        <v>271</v>
      </c>
      <c r="C81" s="236">
        <v>45730.0</v>
      </c>
      <c r="D81" s="230">
        <v>45730.0</v>
      </c>
      <c r="E81" s="231">
        <v>500.0</v>
      </c>
      <c r="F81" s="246"/>
      <c r="G81" s="233"/>
      <c r="H81" s="234"/>
      <c r="L81" s="235"/>
      <c r="M81" s="236"/>
      <c r="N81" s="237"/>
      <c r="O81" s="234"/>
    </row>
    <row r="82" ht="15.75" customHeight="1">
      <c r="B82" s="228" t="s">
        <v>61</v>
      </c>
      <c r="C82" s="236">
        <v>45733.0</v>
      </c>
      <c r="D82" s="230">
        <v>45733.0</v>
      </c>
      <c r="E82" s="231">
        <v>490.0</v>
      </c>
      <c r="F82" s="246"/>
      <c r="G82" s="233"/>
      <c r="H82" s="234"/>
      <c r="L82" s="235"/>
      <c r="M82" s="236"/>
      <c r="N82" s="237"/>
      <c r="O82" s="234"/>
    </row>
    <row r="83" ht="15.75" customHeight="1">
      <c r="B83" s="228" t="s">
        <v>26</v>
      </c>
      <c r="C83" s="236">
        <v>45735.0</v>
      </c>
      <c r="D83" s="230">
        <v>45735.0</v>
      </c>
      <c r="E83" s="231">
        <v>250.0</v>
      </c>
      <c r="F83" s="246"/>
      <c r="G83" s="233"/>
      <c r="H83" s="234"/>
      <c r="L83" s="235"/>
      <c r="M83" s="236"/>
      <c r="N83" s="237"/>
      <c r="O83" s="234"/>
    </row>
    <row r="84" ht="15.75" customHeight="1">
      <c r="B84" s="228" t="s">
        <v>61</v>
      </c>
      <c r="C84" s="236">
        <v>45735.0</v>
      </c>
      <c r="D84" s="230">
        <v>45735.0</v>
      </c>
      <c r="E84" s="231">
        <v>370.0</v>
      </c>
      <c r="F84" s="246"/>
      <c r="G84" s="233"/>
      <c r="H84" s="234"/>
      <c r="L84" s="235"/>
      <c r="M84" s="236"/>
      <c r="N84" s="237"/>
      <c r="O84" s="234"/>
    </row>
    <row r="85" ht="15.75" customHeight="1">
      <c r="B85" s="228" t="s">
        <v>32</v>
      </c>
      <c r="C85" s="236">
        <v>45736.0</v>
      </c>
      <c r="D85" s="230">
        <v>45736.0</v>
      </c>
      <c r="E85" s="231">
        <v>360.0</v>
      </c>
      <c r="F85" s="246"/>
      <c r="G85" s="233"/>
      <c r="H85" s="234"/>
      <c r="L85" s="235"/>
      <c r="M85" s="236"/>
      <c r="N85" s="237"/>
      <c r="O85" s="234"/>
    </row>
    <row r="86" ht="15.75" customHeight="1">
      <c r="B86" s="228" t="s">
        <v>36</v>
      </c>
      <c r="C86" s="236">
        <v>45737.0</v>
      </c>
      <c r="D86" s="230">
        <v>45737.0</v>
      </c>
      <c r="E86" s="231">
        <v>100.0</v>
      </c>
      <c r="F86" s="246"/>
      <c r="G86" s="233"/>
      <c r="H86" s="234"/>
      <c r="L86" s="235"/>
      <c r="M86" s="236"/>
      <c r="N86" s="237"/>
      <c r="O86" s="234"/>
    </row>
    <row r="87" ht="15.75" customHeight="1">
      <c r="B87" s="228" t="s">
        <v>137</v>
      </c>
      <c r="C87" s="236">
        <v>45737.0</v>
      </c>
      <c r="D87" s="230">
        <v>45737.0</v>
      </c>
      <c r="E87" s="231">
        <v>500.0</v>
      </c>
      <c r="F87" s="246"/>
      <c r="G87" s="233"/>
      <c r="H87" s="234"/>
      <c r="L87" s="235"/>
      <c r="M87" s="236"/>
      <c r="N87" s="237"/>
      <c r="O87" s="234"/>
    </row>
    <row r="88" ht="15.75" customHeight="1">
      <c r="B88" s="228" t="s">
        <v>32</v>
      </c>
      <c r="C88" s="236">
        <v>45740.0</v>
      </c>
      <c r="D88" s="230">
        <v>45740.0</v>
      </c>
      <c r="E88" s="231">
        <v>500.0</v>
      </c>
      <c r="F88" s="246"/>
      <c r="G88" s="233"/>
      <c r="H88" s="234"/>
      <c r="L88" s="235"/>
      <c r="M88" s="236"/>
      <c r="N88" s="237"/>
      <c r="O88" s="234"/>
    </row>
    <row r="89" ht="15.75" customHeight="1">
      <c r="B89" s="228" t="s">
        <v>214</v>
      </c>
      <c r="C89" s="236">
        <v>45741.0</v>
      </c>
      <c r="D89" s="230">
        <v>45741.0</v>
      </c>
      <c r="E89" s="231">
        <v>500.0</v>
      </c>
      <c r="F89" s="246"/>
      <c r="G89" s="233"/>
      <c r="H89" s="234"/>
      <c r="L89" s="235"/>
      <c r="M89" s="236"/>
      <c r="N89" s="237"/>
      <c r="O89" s="234"/>
    </row>
    <row r="90" ht="15.75" customHeight="1">
      <c r="B90" s="228"/>
      <c r="C90" s="236"/>
      <c r="D90" s="230"/>
      <c r="E90" s="231"/>
      <c r="F90" s="246"/>
      <c r="G90" s="233"/>
      <c r="H90" s="234"/>
      <c r="L90" s="235"/>
      <c r="M90" s="236"/>
      <c r="N90" s="237"/>
      <c r="O90" s="234"/>
    </row>
    <row r="91" ht="15.75" customHeight="1">
      <c r="B91" s="228"/>
      <c r="C91" s="236"/>
      <c r="D91" s="230"/>
      <c r="E91" s="231"/>
      <c r="F91" s="246"/>
      <c r="G91" s="233"/>
      <c r="H91" s="234"/>
      <c r="L91" s="235"/>
      <c r="M91" s="236"/>
      <c r="N91" s="237"/>
      <c r="O91" s="234"/>
    </row>
    <row r="92" ht="15.75" customHeight="1">
      <c r="B92" s="228"/>
      <c r="C92" s="236"/>
      <c r="D92" s="230"/>
      <c r="E92" s="231"/>
      <c r="F92" s="246"/>
      <c r="G92" s="233"/>
      <c r="H92" s="234"/>
      <c r="L92" s="235"/>
      <c r="M92" s="236"/>
      <c r="N92" s="237"/>
      <c r="O92" s="234"/>
    </row>
    <row r="93" ht="15.75" customHeight="1">
      <c r="B93" s="228"/>
      <c r="C93" s="236"/>
      <c r="D93" s="230"/>
      <c r="E93" s="231"/>
      <c r="F93" s="246"/>
      <c r="G93" s="233"/>
      <c r="H93" s="234"/>
      <c r="L93" s="235"/>
      <c r="M93" s="236"/>
      <c r="N93" s="237"/>
      <c r="O93" s="234"/>
    </row>
    <row r="94" ht="15.75" customHeight="1">
      <c r="B94" s="228"/>
      <c r="C94" s="236"/>
      <c r="D94" s="230"/>
      <c r="E94" s="231"/>
      <c r="F94" s="246"/>
      <c r="G94" s="233"/>
      <c r="H94" s="234"/>
      <c r="L94" s="235"/>
      <c r="M94" s="236"/>
      <c r="N94" s="237"/>
      <c r="O94" s="234"/>
    </row>
    <row r="95" ht="15.75" customHeight="1">
      <c r="B95" s="228"/>
      <c r="C95" s="236"/>
      <c r="D95" s="230"/>
      <c r="E95" s="231"/>
      <c r="F95" s="246"/>
      <c r="G95" s="233"/>
      <c r="H95" s="234"/>
      <c r="L95" s="235"/>
      <c r="M95" s="236"/>
      <c r="N95" s="237"/>
      <c r="O95" s="234"/>
    </row>
    <row r="96" ht="15.0" customHeight="1">
      <c r="B96" s="228"/>
      <c r="C96" s="236"/>
      <c r="D96" s="230"/>
      <c r="E96" s="231"/>
      <c r="F96" s="246"/>
      <c r="G96" s="233"/>
      <c r="H96" s="234"/>
      <c r="L96" s="250" t="s">
        <v>46</v>
      </c>
      <c r="M96" s="251"/>
      <c r="N96" s="252">
        <f>SUM(N5:N95)</f>
        <v>30529</v>
      </c>
      <c r="O96" s="234"/>
    </row>
    <row r="97" ht="30.75" customHeight="1">
      <c r="B97" s="253" t="s">
        <v>46</v>
      </c>
      <c r="C97" s="117"/>
      <c r="D97" s="118"/>
      <c r="E97" s="254">
        <f>SUM(E5:E96)+SUM(G5:G96)</f>
        <v>39345</v>
      </c>
      <c r="F97" s="237"/>
      <c r="G97" s="237">
        <f>SUM(G5:G96)</f>
        <v>0</v>
      </c>
      <c r="H97" s="234"/>
      <c r="L97" s="255"/>
      <c r="M97" s="256"/>
      <c r="N97" s="257"/>
      <c r="O97" s="234"/>
    </row>
    <row r="98" ht="30.0" customHeight="1">
      <c r="B98" s="253" t="s">
        <v>140</v>
      </c>
      <c r="C98" s="117"/>
      <c r="D98" s="118"/>
      <c r="E98" s="254">
        <f>E97-N98</f>
        <v>8816</v>
      </c>
      <c r="F98" s="237"/>
      <c r="G98" s="237"/>
      <c r="H98" s="234"/>
      <c r="L98" s="253" t="s">
        <v>141</v>
      </c>
      <c r="M98" s="118"/>
      <c r="N98" s="258">
        <f>SUM(N5:N38)</f>
        <v>30529</v>
      </c>
      <c r="O98" s="259"/>
    </row>
    <row r="99" ht="15.75" customHeight="1">
      <c r="B99" s="260" t="s">
        <v>142</v>
      </c>
      <c r="C99" s="117"/>
      <c r="D99" s="118"/>
      <c r="E99" s="261"/>
      <c r="F99" s="262"/>
      <c r="G99" s="263"/>
      <c r="H99" s="264"/>
      <c r="L99" s="111" t="s">
        <v>143</v>
      </c>
      <c r="N99" s="5"/>
      <c r="O99" s="265">
        <f>SUM(N33,N40,N41,N42,N51,N56,N57,N58,N59,N60)</f>
        <v>50</v>
      </c>
    </row>
    <row r="100" ht="15.75" customHeight="1">
      <c r="B100" s="260" t="s">
        <v>145</v>
      </c>
      <c r="C100" s="117"/>
      <c r="D100" s="118"/>
      <c r="E100" s="263"/>
      <c r="F100" s="266"/>
      <c r="G100" s="263"/>
      <c r="H100" s="264"/>
      <c r="L100" s="267"/>
      <c r="M100" s="268"/>
      <c r="N100" s="5"/>
      <c r="O100" s="112"/>
    </row>
    <row r="101" ht="15.75" customHeight="1">
      <c r="B101" s="269" t="s">
        <v>146</v>
      </c>
      <c r="C101" s="117"/>
      <c r="D101" s="118"/>
      <c r="E101" s="270"/>
      <c r="F101" s="263"/>
      <c r="G101" s="263"/>
      <c r="H101" s="264"/>
      <c r="M101" s="4"/>
      <c r="N101" s="5"/>
    </row>
    <row r="102" ht="15.75" customHeight="1">
      <c r="M102" s="4"/>
      <c r="N102" s="5"/>
    </row>
    <row r="103" ht="15.75" customHeight="1">
      <c r="F103" s="5"/>
      <c r="M103" s="4"/>
      <c r="N103" s="5"/>
    </row>
    <row r="104" ht="15.75" customHeight="1">
      <c r="M104" s="4"/>
      <c r="N104" s="5"/>
    </row>
    <row r="105" ht="15.75" customHeight="1">
      <c r="E105" s="5">
        <f>E98-680-707-500-2500-580-500-500</f>
        <v>2849</v>
      </c>
      <c r="M105" s="4"/>
      <c r="N105" s="5"/>
    </row>
    <row r="106" ht="15.75" customHeight="1">
      <c r="M106" s="4"/>
      <c r="N106" s="5"/>
    </row>
    <row r="107" ht="15.75" customHeight="1">
      <c r="C107" s="115"/>
      <c r="D107" s="206" t="s">
        <v>147</v>
      </c>
      <c r="E107" s="117"/>
      <c r="F107" s="117"/>
      <c r="G107" s="118"/>
      <c r="M107" s="4"/>
      <c r="N107" s="5"/>
    </row>
    <row r="108" ht="15.75" customHeight="1">
      <c r="C108" s="115"/>
      <c r="D108" s="207">
        <v>438.0</v>
      </c>
      <c r="E108" s="208">
        <v>2560.0</v>
      </c>
      <c r="F108" s="176">
        <v>600.0</v>
      </c>
      <c r="G108" s="177">
        <v>5100.0</v>
      </c>
      <c r="M108" s="4"/>
      <c r="N108" s="5"/>
    </row>
    <row r="109" ht="15.75" customHeight="1">
      <c r="C109" s="271" t="s">
        <v>301</v>
      </c>
      <c r="D109" s="207">
        <v>18.0</v>
      </c>
      <c r="E109" s="208">
        <v>26.0</v>
      </c>
      <c r="F109" s="176">
        <v>15.0</v>
      </c>
      <c r="G109" s="177">
        <v>60.0</v>
      </c>
      <c r="M109" s="4"/>
      <c r="N109" s="5"/>
    </row>
    <row r="110" ht="15.75" customHeight="1">
      <c r="C110" s="115"/>
      <c r="D110" s="209" t="s">
        <v>158</v>
      </c>
      <c r="E110" s="118"/>
      <c r="F110" s="130">
        <f>SUM(D108:G108,D109:G109)</f>
        <v>8817</v>
      </c>
      <c r="G110" s="115"/>
      <c r="M110" s="4"/>
      <c r="N110" s="5"/>
    </row>
    <row r="111" ht="60.75" customHeight="1">
      <c r="C111" s="115"/>
      <c r="D111" s="210" t="s">
        <v>159</v>
      </c>
      <c r="E111" s="118"/>
      <c r="F111" s="132">
        <f>E98-O99</f>
        <v>8766</v>
      </c>
      <c r="G111" s="115"/>
      <c r="M111" s="4"/>
      <c r="N111" s="5"/>
    </row>
    <row r="112" ht="15.75" customHeight="1">
      <c r="M112" s="4"/>
      <c r="N112" s="5"/>
    </row>
    <row r="113" ht="15.75" customHeight="1">
      <c r="M113" s="4"/>
      <c r="N113" s="5"/>
    </row>
    <row r="114" ht="15.75" customHeight="1">
      <c r="M114" s="4"/>
      <c r="N114" s="5"/>
    </row>
    <row r="115" ht="15.75" customHeight="1">
      <c r="M115" s="4"/>
      <c r="N115" s="5"/>
    </row>
    <row r="116" ht="15.75" customHeight="1">
      <c r="M116" s="4"/>
      <c r="N116" s="5"/>
    </row>
    <row r="117" ht="15.75" customHeight="1">
      <c r="M117" s="4"/>
      <c r="N117" s="5"/>
    </row>
    <row r="118" ht="15.75" customHeight="1">
      <c r="M118" s="4"/>
      <c r="N118" s="5"/>
    </row>
    <row r="119" ht="15.75" customHeight="1">
      <c r="M119" s="4"/>
      <c r="N119" s="5"/>
    </row>
    <row r="120" ht="15.75" customHeight="1">
      <c r="M120" s="4"/>
      <c r="N120" s="5"/>
    </row>
    <row r="121" ht="15.75" customHeight="1">
      <c r="M121" s="4"/>
      <c r="N121" s="5"/>
    </row>
    <row r="122" ht="15.75" customHeight="1">
      <c r="M122" s="4"/>
      <c r="N122" s="5"/>
    </row>
    <row r="123" ht="15.75" customHeight="1">
      <c r="M123" s="4"/>
      <c r="N123" s="5"/>
    </row>
    <row r="124" ht="15.75" customHeight="1">
      <c r="M124" s="4"/>
      <c r="N124" s="5"/>
    </row>
    <row r="125" ht="15.75" customHeight="1">
      <c r="M125" s="4"/>
      <c r="N125" s="5"/>
    </row>
    <row r="126" ht="15.75" customHeight="1">
      <c r="M126" s="4"/>
      <c r="N126" s="5"/>
    </row>
    <row r="127" ht="15.75" customHeight="1">
      <c r="M127" s="4"/>
      <c r="N127" s="5"/>
    </row>
    <row r="128" ht="15.75" customHeight="1">
      <c r="M128" s="4"/>
      <c r="N128" s="5"/>
    </row>
    <row r="129" ht="15.75" customHeight="1">
      <c r="M129" s="4"/>
      <c r="N129" s="5"/>
    </row>
    <row r="130" ht="15.75" customHeight="1">
      <c r="M130" s="4"/>
      <c r="N130" s="5"/>
    </row>
    <row r="131" ht="15.75" customHeight="1">
      <c r="M131" s="4"/>
      <c r="N131" s="5"/>
    </row>
    <row r="132" ht="15.75" customHeight="1">
      <c r="M132" s="4"/>
      <c r="N132" s="5"/>
    </row>
    <row r="133" ht="15.75" customHeight="1">
      <c r="M133" s="4"/>
      <c r="N133" s="5"/>
    </row>
    <row r="134" ht="15.75" customHeight="1">
      <c r="M134" s="4"/>
      <c r="N134" s="5"/>
    </row>
    <row r="135" ht="15.75" customHeight="1">
      <c r="M135" s="4"/>
      <c r="N135" s="5"/>
    </row>
    <row r="136" ht="15.75" customHeight="1">
      <c r="M136" s="4"/>
      <c r="N136" s="5"/>
    </row>
    <row r="137" ht="15.75" customHeight="1">
      <c r="M137" s="4"/>
      <c r="N137" s="5"/>
    </row>
    <row r="138" ht="15.75" customHeight="1">
      <c r="M138" s="4"/>
      <c r="N138" s="5"/>
    </row>
    <row r="139" ht="15.75" customHeight="1">
      <c r="M139" s="4"/>
      <c r="N139" s="5"/>
    </row>
    <row r="140" ht="15.75" customHeight="1">
      <c r="M140" s="4"/>
      <c r="N140" s="5"/>
    </row>
    <row r="141" ht="15.75" customHeight="1">
      <c r="M141" s="4"/>
      <c r="N141" s="5"/>
    </row>
    <row r="142" ht="15.75" customHeight="1">
      <c r="M142" s="4"/>
      <c r="N142" s="5"/>
    </row>
    <row r="143" ht="15.75" customHeight="1">
      <c r="M143" s="4"/>
      <c r="N143" s="5"/>
    </row>
    <row r="144" ht="15.75" customHeight="1">
      <c r="M144" s="4"/>
      <c r="N144" s="5"/>
    </row>
    <row r="145" ht="15.75" customHeight="1">
      <c r="M145" s="4"/>
      <c r="N145" s="5"/>
    </row>
    <row r="146" ht="15.75" customHeight="1">
      <c r="M146" s="4"/>
      <c r="N146" s="5"/>
    </row>
    <row r="147" ht="15.75" customHeight="1">
      <c r="M147" s="4"/>
      <c r="N147" s="5"/>
    </row>
    <row r="148" ht="15.75" customHeight="1">
      <c r="M148" s="4"/>
      <c r="N148" s="5"/>
    </row>
    <row r="149" ht="15.75" customHeight="1">
      <c r="M149" s="4"/>
      <c r="N149" s="5"/>
    </row>
    <row r="150" ht="15.75" customHeight="1">
      <c r="M150" s="4"/>
      <c r="N150" s="5"/>
    </row>
    <row r="151" ht="15.75" customHeight="1">
      <c r="M151" s="4"/>
      <c r="N151" s="5"/>
    </row>
    <row r="152" ht="15.75" customHeight="1">
      <c r="M152" s="4"/>
      <c r="N152" s="5"/>
    </row>
    <row r="153" ht="15.75" customHeight="1">
      <c r="M153" s="4"/>
      <c r="N153" s="5"/>
    </row>
    <row r="154" ht="15.75" customHeight="1">
      <c r="M154" s="4"/>
      <c r="N154" s="5"/>
    </row>
    <row r="155" ht="15.75" customHeight="1">
      <c r="M155" s="4"/>
      <c r="N155" s="5"/>
    </row>
    <row r="156" ht="15.75" customHeight="1">
      <c r="M156" s="4"/>
      <c r="N156" s="5"/>
    </row>
    <row r="157" ht="15.75" customHeight="1">
      <c r="M157" s="4"/>
      <c r="N157" s="5"/>
    </row>
    <row r="158" ht="15.75" customHeight="1">
      <c r="M158" s="4"/>
      <c r="N158" s="5"/>
    </row>
    <row r="159" ht="15.75" customHeight="1">
      <c r="M159" s="4"/>
      <c r="N159" s="5"/>
    </row>
    <row r="160" ht="15.75" customHeight="1">
      <c r="M160" s="4"/>
      <c r="N160" s="5"/>
    </row>
    <row r="161" ht="15.75" customHeight="1">
      <c r="M161" s="4"/>
      <c r="N161" s="5"/>
    </row>
    <row r="162" ht="15.75" customHeight="1">
      <c r="M162" s="4"/>
      <c r="N162" s="5"/>
    </row>
    <row r="163" ht="15.75" customHeight="1">
      <c r="M163" s="4"/>
      <c r="N163" s="5"/>
    </row>
    <row r="164" ht="15.75" customHeight="1">
      <c r="M164" s="4"/>
      <c r="N164" s="5"/>
    </row>
    <row r="165" ht="15.75" customHeight="1">
      <c r="M165" s="4"/>
      <c r="N165" s="5"/>
    </row>
    <row r="166" ht="15.75" customHeight="1">
      <c r="M166" s="4"/>
      <c r="N166" s="5"/>
    </row>
    <row r="167" ht="15.75" customHeight="1">
      <c r="M167" s="4"/>
      <c r="N167" s="5"/>
    </row>
    <row r="168" ht="15.75" customHeight="1">
      <c r="M168" s="4"/>
      <c r="N168" s="5"/>
    </row>
    <row r="169" ht="15.75" customHeight="1">
      <c r="M169" s="4"/>
      <c r="N169" s="5"/>
    </row>
    <row r="170" ht="15.75" customHeight="1">
      <c r="M170" s="4"/>
      <c r="N170" s="5"/>
    </row>
    <row r="171" ht="15.75" customHeight="1">
      <c r="M171" s="4"/>
      <c r="N171" s="5"/>
    </row>
    <row r="172" ht="15.75" customHeight="1">
      <c r="M172" s="4"/>
      <c r="N172" s="5"/>
    </row>
    <row r="173" ht="15.75" customHeight="1">
      <c r="M173" s="4"/>
      <c r="N173" s="5"/>
    </row>
    <row r="174" ht="15.75" customHeight="1">
      <c r="M174" s="4"/>
      <c r="N174" s="5"/>
    </row>
    <row r="175" ht="15.75" customHeight="1">
      <c r="M175" s="4"/>
      <c r="N175" s="5"/>
    </row>
    <row r="176" ht="15.75" customHeight="1">
      <c r="M176" s="4"/>
      <c r="N176" s="5"/>
    </row>
    <row r="177" ht="15.75" customHeight="1">
      <c r="M177" s="4"/>
      <c r="N177" s="5"/>
    </row>
    <row r="178" ht="15.75" customHeight="1">
      <c r="M178" s="4"/>
      <c r="N178" s="5"/>
    </row>
    <row r="179" ht="15.75" customHeight="1">
      <c r="M179" s="4"/>
      <c r="N179" s="5"/>
    </row>
    <row r="180" ht="15.75" customHeight="1">
      <c r="M180" s="4"/>
      <c r="N180" s="5"/>
    </row>
    <row r="181" ht="15.75" customHeight="1">
      <c r="M181" s="4"/>
      <c r="N181" s="5"/>
    </row>
    <row r="182" ht="15.75" customHeight="1">
      <c r="M182" s="4"/>
      <c r="N182" s="5"/>
    </row>
    <row r="183" ht="15.75" customHeight="1">
      <c r="M183" s="4"/>
      <c r="N183" s="5"/>
    </row>
    <row r="184" ht="15.75" customHeight="1">
      <c r="M184" s="4"/>
      <c r="N184" s="5"/>
    </row>
    <row r="185" ht="15.75" customHeight="1">
      <c r="M185" s="4"/>
      <c r="N185" s="5"/>
    </row>
    <row r="186" ht="15.75" customHeight="1">
      <c r="M186" s="4"/>
      <c r="N186" s="5"/>
    </row>
    <row r="187" ht="15.75" customHeight="1">
      <c r="M187" s="4"/>
      <c r="N187" s="5"/>
    </row>
    <row r="188" ht="15.75" customHeight="1">
      <c r="M188" s="4"/>
      <c r="N188" s="5"/>
    </row>
    <row r="189" ht="15.75" customHeight="1">
      <c r="M189" s="4"/>
      <c r="N189" s="5"/>
    </row>
    <row r="190" ht="15.75" customHeight="1">
      <c r="M190" s="4"/>
      <c r="N190" s="5"/>
    </row>
    <row r="191" ht="15.75" customHeight="1">
      <c r="M191" s="4"/>
      <c r="N191" s="5"/>
    </row>
    <row r="192" ht="15.75" customHeight="1">
      <c r="M192" s="4"/>
      <c r="N192" s="5"/>
    </row>
    <row r="193" ht="15.75" customHeight="1">
      <c r="M193" s="4"/>
      <c r="N193" s="5"/>
    </row>
    <row r="194" ht="15.75" customHeight="1">
      <c r="M194" s="4"/>
      <c r="N194" s="5"/>
    </row>
    <row r="195" ht="15.75" customHeight="1">
      <c r="M195" s="4"/>
      <c r="N195" s="5"/>
    </row>
    <row r="196" ht="15.75" customHeight="1">
      <c r="M196" s="4"/>
      <c r="N196" s="5"/>
    </row>
    <row r="197" ht="15.75" customHeight="1">
      <c r="M197" s="4"/>
      <c r="N197" s="5"/>
    </row>
    <row r="198" ht="15.75" customHeight="1">
      <c r="M198" s="4"/>
      <c r="N198" s="5"/>
    </row>
    <row r="199" ht="15.75" customHeight="1">
      <c r="M199" s="4"/>
      <c r="N199" s="5"/>
    </row>
    <row r="200" ht="15.75" customHeight="1">
      <c r="M200" s="4"/>
      <c r="N200" s="5"/>
    </row>
    <row r="201" ht="15.75" customHeight="1">
      <c r="M201" s="4"/>
      <c r="N201" s="5"/>
    </row>
    <row r="202" ht="15.75" customHeight="1">
      <c r="M202" s="4"/>
      <c r="N202" s="5"/>
    </row>
    <row r="203" ht="15.75" customHeight="1">
      <c r="M203" s="4"/>
      <c r="N203" s="5"/>
    </row>
    <row r="204" ht="15.75" customHeight="1">
      <c r="M204" s="4"/>
      <c r="N204" s="5"/>
    </row>
    <row r="205" ht="15.75" customHeight="1">
      <c r="M205" s="4"/>
      <c r="N205" s="5"/>
    </row>
    <row r="206" ht="15.75" customHeight="1">
      <c r="M206" s="4"/>
      <c r="N206" s="5"/>
    </row>
    <row r="207" ht="15.75" customHeight="1">
      <c r="M207" s="4"/>
      <c r="N207" s="5"/>
    </row>
    <row r="208" ht="15.75" customHeight="1">
      <c r="M208" s="4"/>
      <c r="N208" s="5"/>
    </row>
    <row r="209" ht="15.75" customHeight="1">
      <c r="M209" s="4"/>
      <c r="N209" s="5"/>
    </row>
    <row r="210" ht="15.75" customHeight="1">
      <c r="M210" s="4"/>
      <c r="N210" s="5"/>
    </row>
    <row r="211" ht="15.75" customHeight="1">
      <c r="M211" s="4"/>
      <c r="N211" s="5"/>
    </row>
    <row r="212" ht="15.75" customHeight="1">
      <c r="M212" s="4"/>
      <c r="N212" s="5"/>
    </row>
    <row r="213" ht="15.75" customHeight="1">
      <c r="M213" s="4"/>
      <c r="N213" s="5"/>
    </row>
    <row r="214" ht="15.75" customHeight="1">
      <c r="M214" s="4"/>
      <c r="N214" s="5"/>
    </row>
    <row r="215" ht="15.75" customHeight="1">
      <c r="M215" s="4"/>
      <c r="N215" s="5"/>
    </row>
    <row r="216" ht="15.75" customHeight="1">
      <c r="M216" s="4"/>
      <c r="N216" s="5"/>
    </row>
    <row r="217" ht="15.75" customHeight="1">
      <c r="M217" s="4"/>
      <c r="N217" s="5"/>
    </row>
    <row r="218" ht="15.75" customHeight="1">
      <c r="M218" s="4"/>
      <c r="N218" s="5"/>
    </row>
    <row r="219" ht="15.75" customHeight="1">
      <c r="M219" s="4"/>
      <c r="N219" s="5"/>
    </row>
    <row r="220" ht="15.75" customHeight="1">
      <c r="M220" s="4"/>
      <c r="N220" s="5"/>
    </row>
    <row r="221" ht="15.75" customHeight="1">
      <c r="M221" s="4"/>
      <c r="N221" s="5"/>
    </row>
    <row r="222" ht="15.75" customHeight="1">
      <c r="M222" s="4"/>
      <c r="N222" s="5"/>
    </row>
    <row r="223" ht="15.75" customHeight="1">
      <c r="M223" s="4"/>
      <c r="N223" s="5"/>
    </row>
    <row r="224" ht="15.75" customHeight="1">
      <c r="M224" s="4"/>
      <c r="N224" s="5"/>
    </row>
    <row r="225" ht="15.75" customHeight="1">
      <c r="M225" s="4"/>
      <c r="N225" s="5"/>
    </row>
    <row r="226" ht="15.75" customHeight="1">
      <c r="M226" s="4"/>
      <c r="N226" s="5"/>
    </row>
    <row r="227" ht="15.75" customHeight="1">
      <c r="M227" s="4"/>
      <c r="N227" s="5"/>
    </row>
    <row r="228" ht="15.75" customHeight="1">
      <c r="M228" s="4"/>
      <c r="N228" s="5"/>
    </row>
    <row r="229" ht="15.75" customHeight="1">
      <c r="M229" s="4"/>
      <c r="N229" s="5"/>
    </row>
    <row r="230" ht="15.75" customHeight="1">
      <c r="M230" s="4"/>
      <c r="N230" s="5"/>
    </row>
    <row r="231" ht="15.75" customHeight="1">
      <c r="M231" s="4"/>
      <c r="N231" s="5"/>
    </row>
    <row r="232" ht="15.75" customHeight="1">
      <c r="M232" s="4"/>
      <c r="N232" s="5"/>
    </row>
    <row r="233" ht="15.75" customHeight="1">
      <c r="M233" s="4"/>
      <c r="N233" s="5"/>
    </row>
    <row r="234" ht="15.75" customHeight="1">
      <c r="M234" s="4"/>
      <c r="N234" s="5"/>
    </row>
    <row r="235" ht="15.75" customHeight="1">
      <c r="M235" s="4"/>
      <c r="N235" s="5"/>
    </row>
    <row r="236" ht="15.75" customHeight="1">
      <c r="M236" s="4"/>
      <c r="N236" s="5"/>
    </row>
    <row r="237" ht="15.75" customHeight="1">
      <c r="M237" s="4"/>
      <c r="N237" s="5"/>
    </row>
    <row r="238" ht="15.75" customHeight="1">
      <c r="M238" s="4"/>
      <c r="N238" s="5"/>
    </row>
    <row r="239" ht="15.75" customHeight="1">
      <c r="M239" s="4"/>
      <c r="N239" s="5"/>
    </row>
    <row r="240" ht="15.75" customHeight="1">
      <c r="M240" s="4"/>
      <c r="N240" s="5"/>
    </row>
    <row r="241" ht="15.75" customHeight="1">
      <c r="M241" s="4"/>
      <c r="N241" s="5"/>
    </row>
    <row r="242" ht="15.75" customHeight="1">
      <c r="M242" s="4"/>
      <c r="N242" s="5"/>
    </row>
    <row r="243" ht="15.75" customHeight="1">
      <c r="M243" s="4"/>
      <c r="N243" s="5"/>
    </row>
    <row r="244" ht="15.75" customHeight="1">
      <c r="M244" s="4"/>
      <c r="N244" s="5"/>
    </row>
    <row r="245" ht="15.75" customHeight="1">
      <c r="M245" s="4"/>
      <c r="N245" s="5"/>
    </row>
    <row r="246" ht="15.75" customHeight="1">
      <c r="M246" s="4"/>
      <c r="N246" s="5"/>
    </row>
    <row r="247" ht="15.75" customHeight="1">
      <c r="M247" s="4"/>
      <c r="N247" s="5"/>
    </row>
    <row r="248" ht="15.75" customHeight="1">
      <c r="M248" s="4"/>
      <c r="N248" s="5"/>
    </row>
    <row r="249" ht="15.75" customHeight="1">
      <c r="M249" s="4"/>
      <c r="N249" s="5"/>
    </row>
    <row r="250" ht="15.75" customHeight="1">
      <c r="M250" s="4"/>
      <c r="N250" s="5"/>
    </row>
    <row r="251" ht="15.75" customHeight="1">
      <c r="M251" s="4"/>
      <c r="N251" s="5"/>
    </row>
    <row r="252" ht="15.75" customHeight="1">
      <c r="M252" s="4"/>
      <c r="N252" s="5"/>
    </row>
    <row r="253" ht="15.75" customHeight="1">
      <c r="M253" s="4"/>
      <c r="N253" s="5"/>
    </row>
    <row r="254" ht="15.75" customHeight="1">
      <c r="M254" s="4"/>
      <c r="N254" s="5"/>
    </row>
    <row r="255" ht="15.75" customHeight="1">
      <c r="M255" s="4"/>
      <c r="N255" s="5"/>
    </row>
    <row r="256" ht="15.75" customHeight="1">
      <c r="M256" s="4"/>
      <c r="N256" s="5"/>
    </row>
    <row r="257" ht="15.75" customHeight="1">
      <c r="M257" s="4"/>
      <c r="N257" s="5"/>
    </row>
    <row r="258" ht="15.75" customHeight="1">
      <c r="M258" s="4"/>
      <c r="N258" s="5"/>
    </row>
    <row r="259" ht="15.75" customHeight="1">
      <c r="M259" s="4"/>
      <c r="N259" s="5"/>
    </row>
    <row r="260" ht="15.75" customHeight="1">
      <c r="M260" s="4"/>
      <c r="N260" s="5"/>
    </row>
    <row r="261" ht="15.75" customHeight="1">
      <c r="M261" s="4"/>
      <c r="N261" s="5"/>
    </row>
    <row r="262" ht="15.75" customHeight="1">
      <c r="M262" s="4"/>
      <c r="N262" s="5"/>
    </row>
    <row r="263" ht="15.75" customHeight="1">
      <c r="M263" s="4"/>
      <c r="N263" s="5"/>
    </row>
    <row r="264" ht="15.75" customHeight="1">
      <c r="M264" s="4"/>
      <c r="N264" s="5"/>
    </row>
    <row r="265" ht="15.75" customHeight="1">
      <c r="M265" s="4"/>
      <c r="N265" s="5"/>
    </row>
    <row r="266" ht="15.75" customHeight="1">
      <c r="M266" s="4"/>
      <c r="N266" s="5"/>
    </row>
    <row r="267" ht="15.75" customHeight="1">
      <c r="M267" s="4"/>
      <c r="N267" s="5"/>
    </row>
    <row r="268" ht="15.75" customHeight="1">
      <c r="M268" s="4"/>
      <c r="N268" s="5"/>
    </row>
    <row r="269" ht="15.75" customHeight="1">
      <c r="M269" s="4"/>
      <c r="N269" s="5"/>
    </row>
    <row r="270" ht="15.75" customHeight="1">
      <c r="M270" s="4"/>
      <c r="N270" s="5"/>
    </row>
    <row r="271" ht="15.75" customHeight="1">
      <c r="M271" s="4"/>
      <c r="N271" s="5"/>
    </row>
    <row r="272" ht="15.75" customHeight="1">
      <c r="M272" s="4"/>
      <c r="N272" s="5"/>
    </row>
    <row r="273" ht="15.75" customHeight="1">
      <c r="M273" s="4"/>
      <c r="N273" s="5"/>
    </row>
    <row r="274" ht="15.75" customHeight="1">
      <c r="M274" s="4"/>
      <c r="N274" s="5"/>
    </row>
    <row r="275" ht="15.75" customHeight="1">
      <c r="M275" s="4"/>
      <c r="N275" s="5"/>
    </row>
    <row r="276" ht="15.75" customHeight="1">
      <c r="M276" s="4"/>
      <c r="N276" s="5"/>
    </row>
    <row r="277" ht="15.75" customHeight="1">
      <c r="M277" s="4"/>
      <c r="N277" s="5"/>
    </row>
    <row r="278" ht="15.75" customHeight="1">
      <c r="M278" s="4"/>
      <c r="N278" s="5"/>
    </row>
    <row r="279" ht="15.75" customHeight="1">
      <c r="M279" s="4"/>
      <c r="N279" s="5"/>
    </row>
    <row r="280" ht="15.75" customHeight="1">
      <c r="M280" s="4"/>
      <c r="N280" s="5"/>
    </row>
    <row r="281" ht="15.75" customHeight="1">
      <c r="M281" s="4"/>
      <c r="N281" s="5"/>
    </row>
    <row r="282" ht="15.75" customHeight="1">
      <c r="M282" s="4"/>
      <c r="N282" s="5"/>
    </row>
    <row r="283" ht="15.75" customHeight="1">
      <c r="M283" s="4"/>
      <c r="N283" s="5"/>
    </row>
    <row r="284" ht="15.75" customHeight="1">
      <c r="M284" s="4"/>
      <c r="N284" s="5"/>
    </row>
    <row r="285" ht="15.75" customHeight="1">
      <c r="M285" s="4"/>
      <c r="N285" s="5"/>
    </row>
    <row r="286" ht="15.75" customHeight="1">
      <c r="M286" s="4"/>
      <c r="N286" s="5"/>
    </row>
    <row r="287" ht="15.75" customHeight="1">
      <c r="M287" s="4"/>
      <c r="N287" s="5"/>
    </row>
    <row r="288" ht="15.75" customHeight="1">
      <c r="M288" s="4"/>
      <c r="N288" s="5"/>
    </row>
    <row r="289" ht="15.75" customHeight="1">
      <c r="M289" s="4"/>
      <c r="N289" s="5"/>
    </row>
    <row r="290" ht="15.75" customHeight="1">
      <c r="M290" s="4"/>
      <c r="N290" s="5"/>
    </row>
    <row r="291" ht="15.75" customHeight="1">
      <c r="M291" s="4"/>
      <c r="N291" s="5"/>
    </row>
    <row r="292" ht="15.75" customHeight="1">
      <c r="M292" s="4"/>
      <c r="N292" s="5"/>
    </row>
    <row r="293" ht="15.75" customHeight="1">
      <c r="M293" s="4"/>
      <c r="N293" s="5"/>
    </row>
    <row r="294" ht="15.75" customHeight="1">
      <c r="M294" s="4"/>
      <c r="N294" s="5"/>
    </row>
    <row r="295" ht="15.75" customHeight="1">
      <c r="M295" s="4"/>
      <c r="N295" s="5"/>
    </row>
    <row r="296" ht="15.75" customHeight="1">
      <c r="M296" s="4"/>
      <c r="N296" s="5"/>
    </row>
    <row r="297" ht="15.75" customHeight="1">
      <c r="M297" s="4"/>
      <c r="N297" s="5"/>
    </row>
    <row r="298" ht="15.75" customHeight="1">
      <c r="M298" s="4"/>
      <c r="N298" s="5"/>
    </row>
    <row r="299" ht="15.75" customHeight="1">
      <c r="M299" s="4"/>
      <c r="N299" s="5"/>
    </row>
    <row r="300" ht="15.75" customHeight="1">
      <c r="M300" s="4"/>
      <c r="N300" s="5"/>
    </row>
    <row r="301" ht="15.75" customHeight="1">
      <c r="M301" s="4"/>
      <c r="N301" s="5"/>
    </row>
    <row r="302" ht="15.75" customHeight="1">
      <c r="M302" s="4"/>
      <c r="N302" s="5"/>
    </row>
    <row r="303" ht="15.75" customHeight="1">
      <c r="M303" s="4"/>
      <c r="N303" s="5"/>
    </row>
    <row r="304" ht="15.75" customHeight="1">
      <c r="M304" s="4"/>
      <c r="N304" s="5"/>
    </row>
    <row r="305" ht="15.75" customHeight="1">
      <c r="M305" s="4"/>
      <c r="N305" s="5"/>
    </row>
    <row r="306" ht="15.75" customHeight="1">
      <c r="M306" s="4"/>
      <c r="N306" s="5"/>
    </row>
    <row r="307" ht="15.75" customHeight="1">
      <c r="M307" s="4"/>
      <c r="N307" s="5"/>
    </row>
    <row r="308" ht="15.75" customHeight="1">
      <c r="M308" s="4"/>
      <c r="N308" s="5"/>
    </row>
    <row r="309" ht="15.75" customHeight="1">
      <c r="M309" s="4"/>
      <c r="N309" s="5"/>
    </row>
    <row r="310" ht="15.75" customHeight="1">
      <c r="M310" s="4"/>
      <c r="N310" s="5"/>
    </row>
    <row r="311" ht="15.75" customHeight="1">
      <c r="M311" s="4"/>
      <c r="N311" s="5"/>
    </row>
    <row r="312" ht="15.75" customHeight="1">
      <c r="M312" s="4"/>
      <c r="N312" s="5"/>
    </row>
    <row r="313" ht="15.75" customHeight="1">
      <c r="M313" s="4"/>
      <c r="N313" s="5"/>
    </row>
    <row r="314" ht="15.75" customHeight="1">
      <c r="M314" s="4"/>
      <c r="N314" s="5"/>
    </row>
    <row r="315" ht="15.75" customHeight="1">
      <c r="M315" s="4"/>
      <c r="N315" s="5"/>
    </row>
    <row r="316" ht="15.75" customHeight="1">
      <c r="M316" s="4"/>
      <c r="N316" s="5"/>
    </row>
    <row r="317" ht="15.75" customHeight="1">
      <c r="M317" s="4"/>
      <c r="N317" s="5"/>
    </row>
    <row r="318" ht="15.75" customHeight="1">
      <c r="M318" s="4"/>
      <c r="N318" s="5"/>
    </row>
    <row r="319" ht="15.75" customHeight="1">
      <c r="M319" s="4"/>
      <c r="N319" s="5"/>
    </row>
    <row r="320" ht="15.75" customHeight="1">
      <c r="M320" s="4"/>
      <c r="N320" s="5"/>
    </row>
    <row r="321" ht="15.75" customHeight="1">
      <c r="M321" s="4"/>
      <c r="N321" s="5"/>
    </row>
    <row r="322" ht="15.75" customHeight="1">
      <c r="M322" s="4"/>
      <c r="N322" s="5"/>
    </row>
    <row r="323" ht="15.75" customHeight="1">
      <c r="M323" s="4"/>
      <c r="N323" s="5"/>
    </row>
    <row r="324" ht="15.75" customHeight="1">
      <c r="M324" s="4"/>
      <c r="N324" s="5"/>
    </row>
    <row r="325" ht="15.75" customHeight="1">
      <c r="M325" s="4"/>
      <c r="N325" s="5"/>
    </row>
    <row r="326" ht="15.75" customHeight="1">
      <c r="M326" s="4"/>
      <c r="N326" s="5"/>
    </row>
    <row r="327" ht="15.75" customHeight="1">
      <c r="M327" s="4"/>
      <c r="N327" s="5"/>
    </row>
    <row r="328" ht="15.75" customHeight="1">
      <c r="M328" s="4"/>
      <c r="N328" s="5"/>
    </row>
    <row r="329" ht="15.75" customHeight="1">
      <c r="M329" s="4"/>
      <c r="N329" s="5"/>
    </row>
    <row r="330" ht="15.75" customHeight="1">
      <c r="M330" s="4"/>
      <c r="N330" s="5"/>
    </row>
    <row r="331" ht="15.75" customHeight="1">
      <c r="M331" s="4"/>
      <c r="N331" s="5"/>
    </row>
    <row r="332" ht="15.75" customHeight="1">
      <c r="M332" s="4"/>
      <c r="N332" s="5"/>
    </row>
    <row r="333" ht="15.75" customHeight="1">
      <c r="M333" s="4"/>
      <c r="N333" s="5"/>
    </row>
    <row r="334" ht="15.75" customHeight="1">
      <c r="M334" s="4"/>
      <c r="N334" s="5"/>
    </row>
    <row r="335" ht="15.75" customHeight="1">
      <c r="M335" s="4"/>
      <c r="N335" s="5"/>
    </row>
    <row r="336" ht="15.75" customHeight="1">
      <c r="M336" s="4"/>
      <c r="N336" s="5"/>
    </row>
    <row r="337" ht="15.75" customHeight="1">
      <c r="M337" s="4"/>
      <c r="N337" s="5"/>
    </row>
    <row r="338" ht="15.75" customHeight="1">
      <c r="M338" s="4"/>
      <c r="N338" s="5"/>
    </row>
    <row r="339" ht="15.75" customHeight="1">
      <c r="M339" s="4"/>
      <c r="N339" s="5"/>
    </row>
    <row r="340" ht="15.75" customHeight="1">
      <c r="M340" s="4"/>
      <c r="N340" s="5"/>
    </row>
    <row r="341" ht="15.75" customHeight="1">
      <c r="M341" s="4"/>
      <c r="N341" s="5"/>
    </row>
    <row r="342" ht="15.75" customHeight="1">
      <c r="M342" s="4"/>
      <c r="N342" s="5"/>
    </row>
    <row r="343" ht="15.75" customHeight="1">
      <c r="M343" s="4"/>
      <c r="N343" s="5"/>
    </row>
    <row r="344" ht="15.75" customHeight="1">
      <c r="M344" s="4"/>
      <c r="N344" s="5"/>
    </row>
    <row r="345" ht="15.75" customHeight="1">
      <c r="M345" s="4"/>
      <c r="N345" s="5"/>
    </row>
    <row r="346" ht="15.75" customHeight="1">
      <c r="M346" s="4"/>
      <c r="N346" s="5"/>
    </row>
    <row r="347" ht="15.75" customHeight="1">
      <c r="M347" s="4"/>
      <c r="N347" s="5"/>
    </row>
    <row r="348" ht="15.75" customHeight="1">
      <c r="M348" s="4"/>
      <c r="N348" s="5"/>
    </row>
    <row r="349" ht="15.75" customHeight="1">
      <c r="M349" s="4"/>
      <c r="N349" s="5"/>
    </row>
    <row r="350" ht="15.75" customHeight="1">
      <c r="M350" s="4"/>
      <c r="N350" s="5"/>
    </row>
    <row r="351" ht="15.75" customHeight="1">
      <c r="M351" s="4"/>
      <c r="N351" s="5"/>
    </row>
    <row r="352" ht="15.75" customHeight="1">
      <c r="M352" s="4"/>
      <c r="N352" s="5"/>
    </row>
    <row r="353" ht="15.75" customHeight="1">
      <c r="M353" s="4"/>
      <c r="N353" s="5"/>
    </row>
    <row r="354" ht="15.75" customHeight="1">
      <c r="M354" s="4"/>
      <c r="N354" s="5"/>
    </row>
    <row r="355" ht="15.75" customHeight="1">
      <c r="M355" s="4"/>
      <c r="N355" s="5"/>
    </row>
    <row r="356" ht="15.75" customHeight="1">
      <c r="M356" s="4"/>
      <c r="N356" s="5"/>
    </row>
    <row r="357" ht="15.75" customHeight="1">
      <c r="M357" s="4"/>
      <c r="N357" s="5"/>
    </row>
    <row r="358" ht="15.75" customHeight="1">
      <c r="M358" s="4"/>
      <c r="N358" s="5"/>
    </row>
    <row r="359" ht="15.75" customHeight="1">
      <c r="M359" s="4"/>
      <c r="N359" s="5"/>
    </row>
    <row r="360" ht="15.75" customHeight="1">
      <c r="M360" s="4"/>
      <c r="N360" s="5"/>
    </row>
    <row r="361" ht="15.75" customHeight="1">
      <c r="M361" s="4"/>
      <c r="N361" s="5"/>
    </row>
    <row r="362" ht="15.75" customHeight="1">
      <c r="M362" s="4"/>
      <c r="N362" s="5"/>
    </row>
    <row r="363" ht="15.75" customHeight="1">
      <c r="M363" s="4"/>
      <c r="N363" s="5"/>
    </row>
    <row r="364" ht="15.75" customHeight="1">
      <c r="M364" s="4"/>
      <c r="N364" s="5"/>
    </row>
    <row r="365" ht="15.75" customHeight="1">
      <c r="M365" s="4"/>
      <c r="N365" s="5"/>
    </row>
    <row r="366" ht="15.75" customHeight="1">
      <c r="M366" s="4"/>
      <c r="N366" s="5"/>
    </row>
    <row r="367" ht="15.75" customHeight="1">
      <c r="M367" s="4"/>
      <c r="N367" s="5"/>
    </row>
    <row r="368" ht="15.75" customHeight="1">
      <c r="M368" s="4"/>
      <c r="N368" s="5"/>
    </row>
    <row r="369" ht="15.75" customHeight="1">
      <c r="M369" s="4"/>
      <c r="N369" s="5"/>
    </row>
    <row r="370" ht="15.75" customHeight="1">
      <c r="M370" s="4"/>
      <c r="N370" s="5"/>
    </row>
    <row r="371" ht="15.75" customHeight="1">
      <c r="M371" s="4"/>
      <c r="N371" s="5"/>
    </row>
    <row r="372" ht="15.75" customHeight="1">
      <c r="M372" s="4"/>
      <c r="N372" s="5"/>
    </row>
    <row r="373" ht="15.75" customHeight="1">
      <c r="M373" s="4"/>
      <c r="N373" s="5"/>
    </row>
    <row r="374" ht="15.75" customHeight="1">
      <c r="M374" s="4"/>
      <c r="N374" s="5"/>
    </row>
    <row r="375" ht="15.75" customHeight="1">
      <c r="M375" s="4"/>
      <c r="N375" s="5"/>
    </row>
    <row r="376" ht="15.75" customHeight="1">
      <c r="M376" s="4"/>
      <c r="N376" s="5"/>
    </row>
    <row r="377" ht="15.75" customHeight="1">
      <c r="M377" s="4"/>
      <c r="N377" s="5"/>
    </row>
    <row r="378" ht="15.75" customHeight="1">
      <c r="M378" s="4"/>
      <c r="N378" s="5"/>
    </row>
    <row r="379" ht="15.75" customHeight="1">
      <c r="M379" s="4"/>
      <c r="N379" s="5"/>
    </row>
    <row r="380" ht="15.75" customHeight="1">
      <c r="M380" s="4"/>
      <c r="N380" s="5"/>
    </row>
    <row r="381" ht="15.75" customHeight="1">
      <c r="M381" s="4"/>
      <c r="N381" s="5"/>
    </row>
    <row r="382" ht="15.75" customHeight="1">
      <c r="M382" s="4"/>
      <c r="N382" s="5"/>
    </row>
    <row r="383" ht="15.75" customHeight="1">
      <c r="M383" s="4"/>
      <c r="N383" s="5"/>
    </row>
    <row r="384" ht="15.75" customHeight="1">
      <c r="M384" s="4"/>
      <c r="N384" s="5"/>
    </row>
    <row r="385" ht="15.75" customHeight="1">
      <c r="M385" s="4"/>
      <c r="N385" s="5"/>
    </row>
    <row r="386" ht="15.75" customHeight="1">
      <c r="M386" s="4"/>
      <c r="N386" s="5"/>
    </row>
    <row r="387" ht="15.75" customHeight="1">
      <c r="M387" s="4"/>
      <c r="N387" s="5"/>
    </row>
    <row r="388" ht="15.75" customHeight="1">
      <c r="M388" s="4"/>
      <c r="N388" s="5"/>
    </row>
    <row r="389" ht="15.75" customHeight="1">
      <c r="M389" s="4"/>
      <c r="N389" s="5"/>
    </row>
    <row r="390" ht="15.75" customHeight="1">
      <c r="M390" s="4"/>
      <c r="N390" s="5"/>
    </row>
    <row r="391" ht="15.75" customHeight="1">
      <c r="M391" s="4"/>
      <c r="N391" s="5"/>
    </row>
    <row r="392" ht="15.75" customHeight="1">
      <c r="M392" s="4"/>
      <c r="N392" s="5"/>
    </row>
    <row r="393" ht="15.75" customHeight="1">
      <c r="M393" s="4"/>
      <c r="N393" s="5"/>
    </row>
    <row r="394" ht="15.75" customHeight="1">
      <c r="M394" s="4"/>
      <c r="N394" s="5"/>
    </row>
    <row r="395" ht="15.75" customHeight="1">
      <c r="M395" s="4"/>
      <c r="N395" s="5"/>
    </row>
    <row r="396" ht="15.75" customHeight="1">
      <c r="M396" s="4"/>
      <c r="N396" s="5"/>
    </row>
    <row r="397" ht="15.75" customHeight="1">
      <c r="M397" s="4"/>
      <c r="N397" s="5"/>
    </row>
    <row r="398" ht="15.75" customHeight="1">
      <c r="M398" s="4"/>
      <c r="N398" s="5"/>
    </row>
    <row r="399" ht="15.75" customHeight="1">
      <c r="M399" s="4"/>
      <c r="N399" s="5"/>
    </row>
    <row r="400" ht="15.75" customHeight="1">
      <c r="M400" s="4"/>
      <c r="N400" s="5"/>
    </row>
    <row r="401" ht="15.75" customHeight="1">
      <c r="M401" s="4"/>
      <c r="N401" s="5"/>
    </row>
    <row r="402" ht="15.75" customHeight="1">
      <c r="M402" s="4"/>
      <c r="N402" s="5"/>
    </row>
    <row r="403" ht="15.75" customHeight="1">
      <c r="M403" s="4"/>
      <c r="N403" s="5"/>
    </row>
    <row r="404" ht="15.75" customHeight="1">
      <c r="M404" s="4"/>
      <c r="N404" s="5"/>
    </row>
    <row r="405" ht="15.75" customHeight="1">
      <c r="M405" s="4"/>
      <c r="N405" s="5"/>
    </row>
    <row r="406" ht="15.75" customHeight="1">
      <c r="M406" s="4"/>
      <c r="N406" s="5"/>
    </row>
    <row r="407" ht="15.75" customHeight="1">
      <c r="M407" s="4"/>
      <c r="N407" s="5"/>
    </row>
    <row r="408" ht="15.75" customHeight="1">
      <c r="M408" s="4"/>
      <c r="N408" s="5"/>
    </row>
    <row r="409" ht="15.75" customHeight="1">
      <c r="M409" s="4"/>
      <c r="N409" s="5"/>
    </row>
    <row r="410" ht="15.75" customHeight="1">
      <c r="M410" s="4"/>
      <c r="N410" s="5"/>
    </row>
    <row r="411" ht="15.75" customHeight="1">
      <c r="M411" s="4"/>
      <c r="N411" s="5"/>
    </row>
    <row r="412" ht="15.75" customHeight="1">
      <c r="M412" s="4"/>
      <c r="N412" s="5"/>
    </row>
    <row r="413" ht="15.75" customHeight="1">
      <c r="M413" s="4"/>
      <c r="N413" s="5"/>
    </row>
    <row r="414" ht="15.75" customHeight="1">
      <c r="M414" s="4"/>
      <c r="N414" s="5"/>
    </row>
    <row r="415" ht="15.75" customHeight="1">
      <c r="M415" s="4"/>
      <c r="N415" s="5"/>
    </row>
    <row r="416" ht="15.75" customHeight="1">
      <c r="M416" s="4"/>
      <c r="N416" s="5"/>
    </row>
    <row r="417" ht="15.75" customHeight="1">
      <c r="M417" s="4"/>
      <c r="N417" s="5"/>
    </row>
    <row r="418" ht="15.75" customHeight="1">
      <c r="M418" s="4"/>
      <c r="N418" s="5"/>
    </row>
    <row r="419" ht="15.75" customHeight="1">
      <c r="M419" s="4"/>
      <c r="N419" s="5"/>
    </row>
    <row r="420" ht="15.75" customHeight="1">
      <c r="M420" s="4"/>
      <c r="N420" s="5"/>
    </row>
    <row r="421" ht="15.75" customHeight="1">
      <c r="M421" s="4"/>
      <c r="N421" s="5"/>
    </row>
    <row r="422" ht="15.75" customHeight="1">
      <c r="M422" s="4"/>
      <c r="N422" s="5"/>
    </row>
    <row r="423" ht="15.75" customHeight="1">
      <c r="M423" s="4"/>
      <c r="N423" s="5"/>
    </row>
    <row r="424" ht="15.75" customHeight="1">
      <c r="M424" s="4"/>
      <c r="N424" s="5"/>
    </row>
    <row r="425" ht="15.75" customHeight="1">
      <c r="M425" s="4"/>
      <c r="N425" s="5"/>
    </row>
    <row r="426" ht="15.75" customHeight="1">
      <c r="M426" s="4"/>
      <c r="N426" s="5"/>
    </row>
    <row r="427" ht="15.75" customHeight="1">
      <c r="M427" s="4"/>
      <c r="N427" s="5"/>
    </row>
    <row r="428" ht="15.75" customHeight="1">
      <c r="M428" s="4"/>
      <c r="N428" s="5"/>
    </row>
    <row r="429" ht="15.75" customHeight="1">
      <c r="M429" s="4"/>
      <c r="N429" s="5"/>
    </row>
    <row r="430" ht="15.75" customHeight="1">
      <c r="M430" s="4"/>
      <c r="N430" s="5"/>
    </row>
    <row r="431" ht="15.75" customHeight="1">
      <c r="M431" s="4"/>
      <c r="N431" s="5"/>
    </row>
    <row r="432" ht="15.75" customHeight="1">
      <c r="M432" s="4"/>
      <c r="N432" s="5"/>
    </row>
    <row r="433" ht="15.75" customHeight="1">
      <c r="M433" s="4"/>
      <c r="N433" s="5"/>
    </row>
    <row r="434" ht="15.75" customHeight="1">
      <c r="M434" s="4"/>
      <c r="N434" s="5"/>
    </row>
    <row r="435" ht="15.75" customHeight="1">
      <c r="M435" s="4"/>
      <c r="N435" s="5"/>
    </row>
    <row r="436" ht="15.75" customHeight="1">
      <c r="M436" s="4"/>
      <c r="N436" s="5"/>
    </row>
    <row r="437" ht="15.75" customHeight="1">
      <c r="M437" s="4"/>
      <c r="N437" s="5"/>
    </row>
    <row r="438" ht="15.75" customHeight="1">
      <c r="M438" s="4"/>
      <c r="N438" s="5"/>
    </row>
    <row r="439" ht="15.75" customHeight="1">
      <c r="M439" s="4"/>
      <c r="N439" s="5"/>
    </row>
    <row r="440" ht="15.75" customHeight="1">
      <c r="M440" s="4"/>
      <c r="N440" s="5"/>
    </row>
    <row r="441" ht="15.75" customHeight="1">
      <c r="M441" s="4"/>
      <c r="N441" s="5"/>
    </row>
    <row r="442" ht="15.75" customHeight="1">
      <c r="M442" s="4"/>
      <c r="N442" s="5"/>
    </row>
    <row r="443" ht="15.75" customHeight="1">
      <c r="M443" s="4"/>
      <c r="N443" s="5"/>
    </row>
    <row r="444" ht="15.75" customHeight="1">
      <c r="M444" s="4"/>
      <c r="N444" s="5"/>
    </row>
    <row r="445" ht="15.75" customHeight="1">
      <c r="M445" s="4"/>
      <c r="N445" s="5"/>
    </row>
    <row r="446" ht="15.75" customHeight="1">
      <c r="M446" s="4"/>
      <c r="N446" s="5"/>
    </row>
    <row r="447" ht="15.75" customHeight="1">
      <c r="M447" s="4"/>
      <c r="N447" s="5"/>
    </row>
    <row r="448" ht="15.75" customHeight="1">
      <c r="M448" s="4"/>
      <c r="N448" s="5"/>
    </row>
    <row r="449" ht="15.75" customHeight="1">
      <c r="M449" s="4"/>
      <c r="N449" s="5"/>
    </row>
    <row r="450" ht="15.75" customHeight="1">
      <c r="M450" s="4"/>
      <c r="N450" s="5"/>
    </row>
    <row r="451" ht="15.75" customHeight="1">
      <c r="M451" s="4"/>
      <c r="N451" s="5"/>
    </row>
    <row r="452" ht="15.75" customHeight="1">
      <c r="M452" s="4"/>
      <c r="N452" s="5"/>
    </row>
    <row r="453" ht="15.75" customHeight="1">
      <c r="M453" s="4"/>
      <c r="N453" s="5"/>
    </row>
    <row r="454" ht="15.75" customHeight="1">
      <c r="M454" s="4"/>
      <c r="N454" s="5"/>
    </row>
    <row r="455" ht="15.75" customHeight="1">
      <c r="M455" s="4"/>
      <c r="N455" s="5"/>
    </row>
    <row r="456" ht="15.75" customHeight="1">
      <c r="M456" s="4"/>
      <c r="N456" s="5"/>
    </row>
    <row r="457" ht="15.75" customHeight="1">
      <c r="M457" s="4"/>
      <c r="N457" s="5"/>
    </row>
    <row r="458" ht="15.75" customHeight="1">
      <c r="M458" s="4"/>
      <c r="N458" s="5"/>
    </row>
    <row r="459" ht="15.75" customHeight="1">
      <c r="M459" s="4"/>
      <c r="N459" s="5"/>
    </row>
    <row r="460" ht="15.75" customHeight="1">
      <c r="M460" s="4"/>
      <c r="N460" s="5"/>
    </row>
    <row r="461" ht="15.75" customHeight="1">
      <c r="M461" s="4"/>
      <c r="N461" s="5"/>
    </row>
    <row r="462" ht="15.75" customHeight="1">
      <c r="M462" s="4"/>
      <c r="N462" s="5"/>
    </row>
    <row r="463" ht="15.75" customHeight="1">
      <c r="M463" s="4"/>
      <c r="N463" s="5"/>
    </row>
    <row r="464" ht="15.75" customHeight="1">
      <c r="M464" s="4"/>
      <c r="N464" s="5"/>
    </row>
    <row r="465" ht="15.75" customHeight="1">
      <c r="M465" s="4"/>
      <c r="N465" s="5"/>
    </row>
    <row r="466" ht="15.75" customHeight="1">
      <c r="M466" s="4"/>
      <c r="N466" s="5"/>
    </row>
    <row r="467" ht="15.75" customHeight="1">
      <c r="M467" s="4"/>
      <c r="N467" s="5"/>
    </row>
    <row r="468" ht="15.75" customHeight="1">
      <c r="M468" s="4"/>
      <c r="N468" s="5"/>
    </row>
    <row r="469" ht="15.75" customHeight="1">
      <c r="M469" s="4"/>
      <c r="N469" s="5"/>
    </row>
    <row r="470" ht="15.75" customHeight="1">
      <c r="M470" s="4"/>
      <c r="N470" s="5"/>
    </row>
    <row r="471" ht="15.75" customHeight="1">
      <c r="M471" s="4"/>
      <c r="N471" s="5"/>
    </row>
    <row r="472" ht="15.75" customHeight="1">
      <c r="M472" s="4"/>
      <c r="N472" s="5"/>
    </row>
    <row r="473" ht="15.75" customHeight="1">
      <c r="M473" s="4"/>
      <c r="N473" s="5"/>
    </row>
    <row r="474" ht="15.75" customHeight="1">
      <c r="M474" s="4"/>
      <c r="N474" s="5"/>
    </row>
    <row r="475" ht="15.75" customHeight="1">
      <c r="M475" s="4"/>
      <c r="N475" s="5"/>
    </row>
    <row r="476" ht="15.75" customHeight="1">
      <c r="M476" s="4"/>
      <c r="N476" s="5"/>
    </row>
    <row r="477" ht="15.75" customHeight="1">
      <c r="M477" s="4"/>
      <c r="N477" s="5"/>
    </row>
    <row r="478" ht="15.75" customHeight="1">
      <c r="M478" s="4"/>
      <c r="N478" s="5"/>
    </row>
    <row r="479" ht="15.75" customHeight="1">
      <c r="M479" s="4"/>
      <c r="N479" s="5"/>
    </row>
    <row r="480" ht="15.75" customHeight="1">
      <c r="M480" s="4"/>
      <c r="N480" s="5"/>
    </row>
    <row r="481" ht="15.75" customHeight="1">
      <c r="M481" s="4"/>
      <c r="N481" s="5"/>
    </row>
    <row r="482" ht="15.75" customHeight="1">
      <c r="M482" s="4"/>
      <c r="N482" s="5"/>
    </row>
    <row r="483" ht="15.75" customHeight="1">
      <c r="M483" s="4"/>
      <c r="N483" s="5"/>
    </row>
    <row r="484" ht="15.75" customHeight="1">
      <c r="M484" s="4"/>
      <c r="N484" s="5"/>
    </row>
    <row r="485" ht="15.75" customHeight="1">
      <c r="M485" s="4"/>
      <c r="N485" s="5"/>
    </row>
    <row r="486" ht="15.75" customHeight="1">
      <c r="M486" s="4"/>
      <c r="N486" s="5"/>
    </row>
    <row r="487" ht="15.75" customHeight="1">
      <c r="M487" s="4"/>
      <c r="N487" s="5"/>
    </row>
    <row r="488" ht="15.75" customHeight="1">
      <c r="M488" s="4"/>
      <c r="N488" s="5"/>
    </row>
    <row r="489" ht="15.75" customHeight="1">
      <c r="M489" s="4"/>
      <c r="N489" s="5"/>
    </row>
    <row r="490" ht="15.75" customHeight="1">
      <c r="M490" s="4"/>
      <c r="N490" s="5"/>
    </row>
    <row r="491" ht="15.75" customHeight="1">
      <c r="M491" s="4"/>
      <c r="N491" s="5"/>
    </row>
    <row r="492" ht="15.75" customHeight="1">
      <c r="M492" s="4"/>
      <c r="N492" s="5"/>
    </row>
    <row r="493" ht="15.75" customHeight="1">
      <c r="M493" s="4"/>
      <c r="N493" s="5"/>
    </row>
    <row r="494" ht="15.75" customHeight="1">
      <c r="M494" s="4"/>
      <c r="N494" s="5"/>
    </row>
    <row r="495" ht="15.75" customHeight="1">
      <c r="M495" s="4"/>
      <c r="N495" s="5"/>
    </row>
    <row r="496" ht="15.75" customHeight="1">
      <c r="M496" s="4"/>
      <c r="N496" s="5"/>
    </row>
    <row r="497" ht="15.75" customHeight="1">
      <c r="M497" s="4"/>
      <c r="N497" s="5"/>
    </row>
    <row r="498" ht="15.75" customHeight="1">
      <c r="M498" s="4"/>
      <c r="N498" s="5"/>
    </row>
    <row r="499" ht="15.75" customHeight="1">
      <c r="M499" s="4"/>
      <c r="N499" s="5"/>
    </row>
    <row r="500" ht="15.75" customHeight="1">
      <c r="M500" s="4"/>
      <c r="N500" s="5"/>
    </row>
    <row r="501" ht="15.75" customHeight="1">
      <c r="M501" s="4"/>
      <c r="N501" s="5"/>
    </row>
    <row r="502" ht="15.75" customHeight="1">
      <c r="M502" s="4"/>
      <c r="N502" s="5"/>
    </row>
    <row r="503" ht="15.75" customHeight="1">
      <c r="M503" s="4"/>
      <c r="N503" s="5"/>
    </row>
    <row r="504" ht="15.75" customHeight="1">
      <c r="M504" s="4"/>
      <c r="N504" s="5"/>
    </row>
    <row r="505" ht="15.75" customHeight="1">
      <c r="M505" s="4"/>
      <c r="N505" s="5"/>
    </row>
    <row r="506" ht="15.75" customHeight="1">
      <c r="M506" s="4"/>
      <c r="N506" s="5"/>
    </row>
    <row r="507" ht="15.75" customHeight="1">
      <c r="M507" s="4"/>
      <c r="N507" s="5"/>
    </row>
    <row r="508" ht="15.75" customHeight="1">
      <c r="M508" s="4"/>
      <c r="N508" s="5"/>
    </row>
    <row r="509" ht="15.75" customHeight="1">
      <c r="M509" s="4"/>
      <c r="N509" s="5"/>
    </row>
    <row r="510" ht="15.75" customHeight="1">
      <c r="M510" s="4"/>
      <c r="N510" s="5"/>
    </row>
    <row r="511" ht="15.75" customHeight="1">
      <c r="M511" s="4"/>
      <c r="N511" s="5"/>
    </row>
    <row r="512" ht="15.75" customHeight="1">
      <c r="M512" s="4"/>
      <c r="N512" s="5"/>
    </row>
    <row r="513" ht="15.75" customHeight="1">
      <c r="M513" s="4"/>
      <c r="N513" s="5"/>
    </row>
    <row r="514" ht="15.75" customHeight="1">
      <c r="M514" s="4"/>
      <c r="N514" s="5"/>
    </row>
    <row r="515" ht="15.75" customHeight="1">
      <c r="M515" s="4"/>
      <c r="N515" s="5"/>
    </row>
    <row r="516" ht="15.75" customHeight="1">
      <c r="M516" s="4"/>
      <c r="N516" s="5"/>
    </row>
    <row r="517" ht="15.75" customHeight="1">
      <c r="M517" s="4"/>
      <c r="N517" s="5"/>
    </row>
    <row r="518" ht="15.75" customHeight="1">
      <c r="M518" s="4"/>
      <c r="N518" s="5"/>
    </row>
    <row r="519" ht="15.75" customHeight="1">
      <c r="M519" s="4"/>
      <c r="N519" s="5"/>
    </row>
    <row r="520" ht="15.75" customHeight="1">
      <c r="M520" s="4"/>
      <c r="N520" s="5"/>
    </row>
    <row r="521" ht="15.75" customHeight="1">
      <c r="M521" s="4"/>
      <c r="N521" s="5"/>
    </row>
    <row r="522" ht="15.75" customHeight="1">
      <c r="M522" s="4"/>
      <c r="N522" s="5"/>
    </row>
    <row r="523" ht="15.75" customHeight="1">
      <c r="M523" s="4"/>
      <c r="N523" s="5"/>
    </row>
    <row r="524" ht="15.75" customHeight="1">
      <c r="M524" s="4"/>
      <c r="N524" s="5"/>
    </row>
    <row r="525" ht="15.75" customHeight="1">
      <c r="M525" s="4"/>
      <c r="N525" s="5"/>
    </row>
    <row r="526" ht="15.75" customHeight="1">
      <c r="M526" s="4"/>
      <c r="N526" s="5"/>
    </row>
    <row r="527" ht="15.75" customHeight="1">
      <c r="M527" s="4"/>
      <c r="N527" s="5"/>
    </row>
    <row r="528" ht="15.75" customHeight="1">
      <c r="M528" s="4"/>
      <c r="N528" s="5"/>
    </row>
    <row r="529" ht="15.75" customHeight="1">
      <c r="M529" s="4"/>
      <c r="N529" s="5"/>
    </row>
    <row r="530" ht="15.75" customHeight="1">
      <c r="M530" s="4"/>
      <c r="N530" s="5"/>
    </row>
    <row r="531" ht="15.75" customHeight="1">
      <c r="M531" s="4"/>
      <c r="N531" s="5"/>
    </row>
    <row r="532" ht="15.75" customHeight="1">
      <c r="M532" s="4"/>
      <c r="N532" s="5"/>
    </row>
    <row r="533" ht="15.75" customHeight="1">
      <c r="M533" s="4"/>
      <c r="N533" s="5"/>
    </row>
    <row r="534" ht="15.75" customHeight="1">
      <c r="M534" s="4"/>
      <c r="N534" s="5"/>
    </row>
    <row r="535" ht="15.75" customHeight="1">
      <c r="M535" s="4"/>
      <c r="N535" s="5"/>
    </row>
    <row r="536" ht="15.75" customHeight="1">
      <c r="M536" s="4"/>
      <c r="N536" s="5"/>
    </row>
    <row r="537" ht="15.75" customHeight="1">
      <c r="M537" s="4"/>
      <c r="N537" s="5"/>
    </row>
    <row r="538" ht="15.75" customHeight="1">
      <c r="M538" s="4"/>
      <c r="N538" s="5"/>
    </row>
    <row r="539" ht="15.75" customHeight="1">
      <c r="M539" s="4"/>
      <c r="N539" s="5"/>
    </row>
    <row r="540" ht="15.75" customHeight="1">
      <c r="M540" s="4"/>
      <c r="N540" s="5"/>
    </row>
    <row r="541" ht="15.75" customHeight="1">
      <c r="M541" s="4"/>
      <c r="N541" s="5"/>
    </row>
    <row r="542" ht="15.75" customHeight="1">
      <c r="M542" s="4"/>
      <c r="N542" s="5"/>
    </row>
    <row r="543" ht="15.75" customHeight="1">
      <c r="M543" s="4"/>
      <c r="N543" s="5"/>
    </row>
    <row r="544" ht="15.75" customHeight="1">
      <c r="M544" s="4"/>
      <c r="N544" s="5"/>
    </row>
    <row r="545" ht="15.75" customHeight="1">
      <c r="M545" s="4"/>
      <c r="N545" s="5"/>
    </row>
    <row r="546" ht="15.75" customHeight="1">
      <c r="M546" s="4"/>
      <c r="N546" s="5"/>
    </row>
    <row r="547" ht="15.75" customHeight="1">
      <c r="M547" s="4"/>
      <c r="N547" s="5"/>
    </row>
    <row r="548" ht="15.75" customHeight="1">
      <c r="M548" s="4"/>
      <c r="N548" s="5"/>
    </row>
    <row r="549" ht="15.75" customHeight="1">
      <c r="M549" s="4"/>
      <c r="N549" s="5"/>
    </row>
    <row r="550" ht="15.75" customHeight="1">
      <c r="M550" s="4"/>
      <c r="N550" s="5"/>
    </row>
    <row r="551" ht="15.75" customHeight="1">
      <c r="M551" s="4"/>
      <c r="N551" s="5"/>
    </row>
    <row r="552" ht="15.75" customHeight="1">
      <c r="M552" s="4"/>
      <c r="N552" s="5"/>
    </row>
    <row r="553" ht="15.75" customHeight="1">
      <c r="M553" s="4"/>
      <c r="N553" s="5"/>
    </row>
    <row r="554" ht="15.75" customHeight="1">
      <c r="M554" s="4"/>
      <c r="N554" s="5"/>
    </row>
    <row r="555" ht="15.75" customHeight="1">
      <c r="M555" s="4"/>
      <c r="N555" s="5"/>
    </row>
    <row r="556" ht="15.75" customHeight="1">
      <c r="M556" s="4"/>
      <c r="N556" s="5"/>
    </row>
    <row r="557" ht="15.75" customHeight="1">
      <c r="M557" s="4"/>
      <c r="N557" s="5"/>
    </row>
    <row r="558" ht="15.75" customHeight="1">
      <c r="M558" s="4"/>
      <c r="N558" s="5"/>
    </row>
    <row r="559" ht="15.75" customHeight="1">
      <c r="M559" s="4"/>
      <c r="N559" s="5"/>
    </row>
    <row r="560" ht="15.75" customHeight="1">
      <c r="M560" s="4"/>
      <c r="N560" s="5"/>
    </row>
    <row r="561" ht="15.75" customHeight="1">
      <c r="M561" s="4"/>
      <c r="N561" s="5"/>
    </row>
    <row r="562" ht="15.75" customHeight="1">
      <c r="M562" s="4"/>
      <c r="N562" s="5"/>
    </row>
    <row r="563" ht="15.75" customHeight="1">
      <c r="M563" s="4"/>
      <c r="N563" s="5"/>
    </row>
    <row r="564" ht="15.75" customHeight="1">
      <c r="M564" s="4"/>
      <c r="N564" s="5"/>
    </row>
    <row r="565" ht="15.75" customHeight="1">
      <c r="M565" s="4"/>
      <c r="N565" s="5"/>
    </row>
    <row r="566" ht="15.75" customHeight="1">
      <c r="M566" s="4"/>
      <c r="N566" s="5"/>
    </row>
    <row r="567" ht="15.75" customHeight="1">
      <c r="M567" s="4"/>
      <c r="N567" s="5"/>
    </row>
    <row r="568" ht="15.75" customHeight="1">
      <c r="M568" s="4"/>
      <c r="N568" s="5"/>
    </row>
    <row r="569" ht="15.75" customHeight="1">
      <c r="M569" s="4"/>
      <c r="N569" s="5"/>
    </row>
    <row r="570" ht="15.75" customHeight="1">
      <c r="M570" s="4"/>
      <c r="N570" s="5"/>
    </row>
    <row r="571" ht="15.75" customHeight="1">
      <c r="M571" s="4"/>
      <c r="N571" s="5"/>
    </row>
    <row r="572" ht="15.75" customHeight="1">
      <c r="M572" s="4"/>
      <c r="N572" s="5"/>
    </row>
    <row r="573" ht="15.75" customHeight="1">
      <c r="M573" s="4"/>
      <c r="N573" s="5"/>
    </row>
    <row r="574" ht="15.75" customHeight="1">
      <c r="M574" s="4"/>
      <c r="N574" s="5"/>
    </row>
    <row r="575" ht="15.75" customHeight="1">
      <c r="M575" s="4"/>
      <c r="N575" s="5"/>
    </row>
    <row r="576" ht="15.75" customHeight="1">
      <c r="M576" s="4"/>
      <c r="N576" s="5"/>
    </row>
    <row r="577" ht="15.75" customHeight="1">
      <c r="M577" s="4"/>
      <c r="N577" s="5"/>
    </row>
    <row r="578" ht="15.75" customHeight="1">
      <c r="M578" s="4"/>
      <c r="N578" s="5"/>
    </row>
    <row r="579" ht="15.75" customHeight="1">
      <c r="M579" s="4"/>
      <c r="N579" s="5"/>
    </row>
    <row r="580" ht="15.75" customHeight="1">
      <c r="M580" s="4"/>
      <c r="N580" s="5"/>
    </row>
    <row r="581" ht="15.75" customHeight="1">
      <c r="M581" s="4"/>
      <c r="N581" s="5"/>
    </row>
    <row r="582" ht="15.75" customHeight="1">
      <c r="M582" s="4"/>
      <c r="N582" s="5"/>
    </row>
    <row r="583" ht="15.75" customHeight="1">
      <c r="M583" s="4"/>
      <c r="N583" s="5"/>
    </row>
    <row r="584" ht="15.75" customHeight="1">
      <c r="M584" s="4"/>
      <c r="N584" s="5"/>
    </row>
    <row r="585" ht="15.75" customHeight="1">
      <c r="M585" s="4"/>
      <c r="N585" s="5"/>
    </row>
    <row r="586" ht="15.75" customHeight="1">
      <c r="M586" s="4"/>
      <c r="N586" s="5"/>
    </row>
    <row r="587" ht="15.75" customHeight="1">
      <c r="M587" s="4"/>
      <c r="N587" s="5"/>
    </row>
    <row r="588" ht="15.75" customHeight="1">
      <c r="M588" s="4"/>
      <c r="N588" s="5"/>
    </row>
    <row r="589" ht="15.75" customHeight="1">
      <c r="M589" s="4"/>
      <c r="N589" s="5"/>
    </row>
    <row r="590" ht="15.75" customHeight="1">
      <c r="M590" s="4"/>
      <c r="N590" s="5"/>
    </row>
    <row r="591" ht="15.75" customHeight="1">
      <c r="M591" s="4"/>
      <c r="N591" s="5"/>
    </row>
    <row r="592" ht="15.75" customHeight="1">
      <c r="M592" s="4"/>
      <c r="N592" s="5"/>
    </row>
    <row r="593" ht="15.75" customHeight="1">
      <c r="M593" s="4"/>
      <c r="N593" s="5"/>
    </row>
    <row r="594" ht="15.75" customHeight="1">
      <c r="M594" s="4"/>
      <c r="N594" s="5"/>
    </row>
    <row r="595" ht="15.75" customHeight="1">
      <c r="M595" s="4"/>
      <c r="N595" s="5"/>
    </row>
    <row r="596" ht="15.75" customHeight="1">
      <c r="M596" s="4"/>
      <c r="N596" s="5"/>
    </row>
    <row r="597" ht="15.75" customHeight="1">
      <c r="M597" s="4"/>
      <c r="N597" s="5"/>
    </row>
    <row r="598" ht="15.75" customHeight="1">
      <c r="M598" s="4"/>
      <c r="N598" s="5"/>
    </row>
    <row r="599" ht="15.75" customHeight="1">
      <c r="M599" s="4"/>
      <c r="N599" s="5"/>
    </row>
    <row r="600" ht="15.75" customHeight="1">
      <c r="M600" s="4"/>
      <c r="N600" s="5"/>
    </row>
    <row r="601" ht="15.75" customHeight="1">
      <c r="M601" s="4"/>
      <c r="N601" s="5"/>
    </row>
    <row r="602" ht="15.75" customHeight="1">
      <c r="M602" s="4"/>
      <c r="N602" s="5"/>
    </row>
    <row r="603" ht="15.75" customHeight="1">
      <c r="M603" s="4"/>
      <c r="N603" s="5"/>
    </row>
    <row r="604" ht="15.75" customHeight="1">
      <c r="M604" s="4"/>
      <c r="N604" s="5"/>
    </row>
    <row r="605" ht="15.75" customHeight="1">
      <c r="M605" s="4"/>
      <c r="N605" s="5"/>
    </row>
    <row r="606" ht="15.75" customHeight="1">
      <c r="M606" s="4"/>
      <c r="N606" s="5"/>
    </row>
    <row r="607" ht="15.75" customHeight="1">
      <c r="M607" s="4"/>
      <c r="N607" s="5"/>
    </row>
    <row r="608" ht="15.75" customHeight="1">
      <c r="M608" s="4"/>
      <c r="N608" s="5"/>
    </row>
    <row r="609" ht="15.75" customHeight="1">
      <c r="M609" s="4"/>
      <c r="N609" s="5"/>
    </row>
    <row r="610" ht="15.75" customHeight="1">
      <c r="M610" s="4"/>
      <c r="N610" s="5"/>
    </row>
    <row r="611" ht="15.75" customHeight="1">
      <c r="M611" s="4"/>
      <c r="N611" s="5"/>
    </row>
    <row r="612" ht="15.75" customHeight="1">
      <c r="M612" s="4"/>
      <c r="N612" s="5"/>
    </row>
    <row r="613" ht="15.75" customHeight="1">
      <c r="M613" s="4"/>
      <c r="N613" s="5"/>
    </row>
    <row r="614" ht="15.75" customHeight="1">
      <c r="M614" s="4"/>
      <c r="N614" s="5"/>
    </row>
    <row r="615" ht="15.75" customHeight="1">
      <c r="M615" s="4"/>
      <c r="N615" s="5"/>
    </row>
    <row r="616" ht="15.75" customHeight="1">
      <c r="M616" s="4"/>
      <c r="N616" s="5"/>
    </row>
    <row r="617" ht="15.75" customHeight="1">
      <c r="M617" s="4"/>
      <c r="N617" s="5"/>
    </row>
    <row r="618" ht="15.75" customHeight="1">
      <c r="M618" s="4"/>
      <c r="N618" s="5"/>
    </row>
    <row r="619" ht="15.75" customHeight="1">
      <c r="M619" s="4"/>
      <c r="N619" s="5"/>
    </row>
    <row r="620" ht="15.75" customHeight="1">
      <c r="M620" s="4"/>
      <c r="N620" s="5"/>
    </row>
    <row r="621" ht="15.75" customHeight="1">
      <c r="M621" s="4"/>
      <c r="N621" s="5"/>
    </row>
    <row r="622" ht="15.75" customHeight="1">
      <c r="M622" s="4"/>
      <c r="N622" s="5"/>
    </row>
    <row r="623" ht="15.75" customHeight="1">
      <c r="M623" s="4"/>
      <c r="N623" s="5"/>
    </row>
    <row r="624" ht="15.75" customHeight="1">
      <c r="M624" s="4"/>
      <c r="N624" s="5"/>
    </row>
    <row r="625" ht="15.75" customHeight="1">
      <c r="M625" s="4"/>
      <c r="N625" s="5"/>
    </row>
    <row r="626" ht="15.75" customHeight="1">
      <c r="M626" s="4"/>
      <c r="N626" s="5"/>
    </row>
    <row r="627" ht="15.75" customHeight="1">
      <c r="M627" s="4"/>
      <c r="N627" s="5"/>
    </row>
    <row r="628" ht="15.75" customHeight="1">
      <c r="M628" s="4"/>
      <c r="N628" s="5"/>
    </row>
    <row r="629" ht="15.75" customHeight="1">
      <c r="M629" s="4"/>
      <c r="N629" s="5"/>
    </row>
    <row r="630" ht="15.75" customHeight="1">
      <c r="M630" s="4"/>
      <c r="N630" s="5"/>
    </row>
    <row r="631" ht="15.75" customHeight="1">
      <c r="M631" s="4"/>
      <c r="N631" s="5"/>
    </row>
    <row r="632" ht="15.75" customHeight="1">
      <c r="M632" s="4"/>
      <c r="N632" s="5"/>
    </row>
    <row r="633" ht="15.75" customHeight="1">
      <c r="M633" s="4"/>
      <c r="N633" s="5"/>
    </row>
    <row r="634" ht="15.75" customHeight="1">
      <c r="M634" s="4"/>
      <c r="N634" s="5"/>
    </row>
    <row r="635" ht="15.75" customHeight="1">
      <c r="M635" s="4"/>
      <c r="N635" s="5"/>
    </row>
    <row r="636" ht="15.75" customHeight="1">
      <c r="M636" s="4"/>
      <c r="N636" s="5"/>
    </row>
    <row r="637" ht="15.75" customHeight="1">
      <c r="M637" s="4"/>
      <c r="N637" s="5"/>
    </row>
    <row r="638" ht="15.75" customHeight="1">
      <c r="M638" s="4"/>
      <c r="N638" s="5"/>
    </row>
    <row r="639" ht="15.75" customHeight="1">
      <c r="M639" s="4"/>
      <c r="N639" s="5"/>
    </row>
    <row r="640" ht="15.75" customHeight="1">
      <c r="M640" s="4"/>
      <c r="N640" s="5"/>
    </row>
    <row r="641" ht="15.75" customHeight="1">
      <c r="M641" s="4"/>
      <c r="N641" s="5"/>
    </row>
    <row r="642" ht="15.75" customHeight="1">
      <c r="M642" s="4"/>
      <c r="N642" s="5"/>
    </row>
    <row r="643" ht="15.75" customHeight="1">
      <c r="M643" s="4"/>
      <c r="N643" s="5"/>
    </row>
    <row r="644" ht="15.75" customHeight="1">
      <c r="M644" s="4"/>
      <c r="N644" s="5"/>
    </row>
    <row r="645" ht="15.75" customHeight="1">
      <c r="M645" s="4"/>
      <c r="N645" s="5"/>
    </row>
    <row r="646" ht="15.75" customHeight="1">
      <c r="M646" s="4"/>
      <c r="N646" s="5"/>
    </row>
    <row r="647" ht="15.75" customHeight="1">
      <c r="M647" s="4"/>
      <c r="N647" s="5"/>
    </row>
    <row r="648" ht="15.75" customHeight="1">
      <c r="M648" s="4"/>
      <c r="N648" s="5"/>
    </row>
    <row r="649" ht="15.75" customHeight="1">
      <c r="M649" s="4"/>
      <c r="N649" s="5"/>
    </row>
    <row r="650" ht="15.75" customHeight="1">
      <c r="M650" s="4"/>
      <c r="N650" s="5"/>
    </row>
    <row r="651" ht="15.75" customHeight="1">
      <c r="M651" s="4"/>
      <c r="N651" s="5"/>
    </row>
    <row r="652" ht="15.75" customHeight="1">
      <c r="M652" s="4"/>
      <c r="N652" s="5"/>
    </row>
    <row r="653" ht="15.75" customHeight="1">
      <c r="M653" s="4"/>
      <c r="N653" s="5"/>
    </row>
    <row r="654" ht="15.75" customHeight="1">
      <c r="M654" s="4"/>
      <c r="N654" s="5"/>
    </row>
    <row r="655" ht="15.75" customHeight="1">
      <c r="M655" s="4"/>
      <c r="N655" s="5"/>
    </row>
    <row r="656" ht="15.75" customHeight="1">
      <c r="M656" s="4"/>
      <c r="N656" s="5"/>
    </row>
    <row r="657" ht="15.75" customHeight="1">
      <c r="M657" s="4"/>
      <c r="N657" s="5"/>
    </row>
    <row r="658" ht="15.75" customHeight="1">
      <c r="M658" s="4"/>
      <c r="N658" s="5"/>
    </row>
    <row r="659" ht="15.75" customHeight="1">
      <c r="M659" s="4"/>
      <c r="N659" s="5"/>
    </row>
    <row r="660" ht="15.75" customHeight="1">
      <c r="M660" s="4"/>
      <c r="N660" s="5"/>
    </row>
    <row r="661" ht="15.75" customHeight="1">
      <c r="M661" s="4"/>
      <c r="N661" s="5"/>
    </row>
    <row r="662" ht="15.75" customHeight="1">
      <c r="M662" s="4"/>
      <c r="N662" s="5"/>
    </row>
    <row r="663" ht="15.75" customHeight="1">
      <c r="M663" s="4"/>
      <c r="N663" s="5"/>
    </row>
    <row r="664" ht="15.75" customHeight="1">
      <c r="M664" s="4"/>
      <c r="N664" s="5"/>
    </row>
    <row r="665" ht="15.75" customHeight="1">
      <c r="M665" s="4"/>
      <c r="N665" s="5"/>
    </row>
    <row r="666" ht="15.75" customHeight="1">
      <c r="M666" s="4"/>
      <c r="N666" s="5"/>
    </row>
    <row r="667" ht="15.75" customHeight="1">
      <c r="M667" s="4"/>
      <c r="N667" s="5"/>
    </row>
    <row r="668" ht="15.75" customHeight="1">
      <c r="M668" s="4"/>
      <c r="N668" s="5"/>
    </row>
    <row r="669" ht="15.75" customHeight="1">
      <c r="M669" s="4"/>
      <c r="N669" s="5"/>
    </row>
    <row r="670" ht="15.75" customHeight="1">
      <c r="M670" s="4"/>
      <c r="N670" s="5"/>
    </row>
    <row r="671" ht="15.75" customHeight="1">
      <c r="M671" s="4"/>
      <c r="N671" s="5"/>
    </row>
    <row r="672" ht="15.75" customHeight="1">
      <c r="M672" s="4"/>
      <c r="N672" s="5"/>
    </row>
    <row r="673" ht="15.75" customHeight="1">
      <c r="M673" s="4"/>
      <c r="N673" s="5"/>
    </row>
    <row r="674" ht="15.75" customHeight="1">
      <c r="M674" s="4"/>
      <c r="N674" s="5"/>
    </row>
    <row r="675" ht="15.75" customHeight="1">
      <c r="M675" s="4"/>
      <c r="N675" s="5"/>
    </row>
    <row r="676" ht="15.75" customHeight="1">
      <c r="M676" s="4"/>
      <c r="N676" s="5"/>
    </row>
    <row r="677" ht="15.75" customHeight="1">
      <c r="M677" s="4"/>
      <c r="N677" s="5"/>
    </row>
    <row r="678" ht="15.75" customHeight="1">
      <c r="M678" s="4"/>
      <c r="N678" s="5"/>
    </row>
    <row r="679" ht="15.75" customHeight="1">
      <c r="M679" s="4"/>
      <c r="N679" s="5"/>
    </row>
    <row r="680" ht="15.75" customHeight="1">
      <c r="M680" s="4"/>
      <c r="N680" s="5"/>
    </row>
    <row r="681" ht="15.75" customHeight="1">
      <c r="M681" s="4"/>
      <c r="N681" s="5"/>
    </row>
    <row r="682" ht="15.75" customHeight="1">
      <c r="M682" s="4"/>
      <c r="N682" s="5"/>
    </row>
    <row r="683" ht="15.75" customHeight="1">
      <c r="M683" s="4"/>
      <c r="N683" s="5"/>
    </row>
    <row r="684" ht="15.75" customHeight="1">
      <c r="M684" s="4"/>
      <c r="N684" s="5"/>
    </row>
    <row r="685" ht="15.75" customHeight="1">
      <c r="M685" s="4"/>
      <c r="N685" s="5"/>
    </row>
    <row r="686" ht="15.75" customHeight="1">
      <c r="M686" s="4"/>
      <c r="N686" s="5"/>
    </row>
    <row r="687" ht="15.75" customHeight="1">
      <c r="M687" s="4"/>
      <c r="N687" s="5"/>
    </row>
    <row r="688" ht="15.75" customHeight="1">
      <c r="M688" s="4"/>
      <c r="N688" s="5"/>
    </row>
    <row r="689" ht="15.75" customHeight="1">
      <c r="M689" s="4"/>
      <c r="N689" s="5"/>
    </row>
    <row r="690" ht="15.75" customHeight="1">
      <c r="M690" s="4"/>
      <c r="N690" s="5"/>
    </row>
    <row r="691" ht="15.75" customHeight="1">
      <c r="M691" s="4"/>
      <c r="N691" s="5"/>
    </row>
    <row r="692" ht="15.75" customHeight="1">
      <c r="M692" s="4"/>
      <c r="N692" s="5"/>
    </row>
    <row r="693" ht="15.75" customHeight="1">
      <c r="M693" s="4"/>
      <c r="N693" s="5"/>
    </row>
    <row r="694" ht="15.75" customHeight="1">
      <c r="M694" s="4"/>
      <c r="N694" s="5"/>
    </row>
    <row r="695" ht="15.75" customHeight="1">
      <c r="M695" s="4"/>
      <c r="N695" s="5"/>
    </row>
    <row r="696" ht="15.75" customHeight="1">
      <c r="M696" s="4"/>
      <c r="N696" s="5"/>
    </row>
    <row r="697" ht="15.75" customHeight="1">
      <c r="M697" s="4"/>
      <c r="N697" s="5"/>
    </row>
    <row r="698" ht="15.75" customHeight="1">
      <c r="M698" s="4"/>
      <c r="N698" s="5"/>
    </row>
    <row r="699" ht="15.75" customHeight="1">
      <c r="M699" s="4"/>
      <c r="N699" s="5"/>
    </row>
    <row r="700" ht="15.75" customHeight="1">
      <c r="M700" s="4"/>
      <c r="N700" s="5"/>
    </row>
    <row r="701" ht="15.75" customHeight="1">
      <c r="M701" s="4"/>
      <c r="N701" s="5"/>
    </row>
    <row r="702" ht="15.75" customHeight="1">
      <c r="M702" s="4"/>
      <c r="N702" s="5"/>
    </row>
    <row r="703" ht="15.75" customHeight="1">
      <c r="M703" s="4"/>
      <c r="N703" s="5"/>
    </row>
    <row r="704" ht="15.75" customHeight="1">
      <c r="M704" s="4"/>
      <c r="N704" s="5"/>
    </row>
    <row r="705" ht="15.75" customHeight="1">
      <c r="M705" s="4"/>
      <c r="N705" s="5"/>
    </row>
    <row r="706" ht="15.75" customHeight="1">
      <c r="M706" s="4"/>
      <c r="N706" s="5"/>
    </row>
    <row r="707" ht="15.75" customHeight="1">
      <c r="M707" s="4"/>
      <c r="N707" s="5"/>
    </row>
    <row r="708" ht="15.75" customHeight="1">
      <c r="M708" s="4"/>
      <c r="N708" s="5"/>
    </row>
    <row r="709" ht="15.75" customHeight="1">
      <c r="M709" s="4"/>
      <c r="N709" s="5"/>
    </row>
    <row r="710" ht="15.75" customHeight="1">
      <c r="M710" s="4"/>
      <c r="N710" s="5"/>
    </row>
    <row r="711" ht="15.75" customHeight="1">
      <c r="M711" s="4"/>
      <c r="N711" s="5"/>
    </row>
    <row r="712" ht="15.75" customHeight="1">
      <c r="M712" s="4"/>
      <c r="N712" s="5"/>
    </row>
    <row r="713" ht="15.75" customHeight="1">
      <c r="M713" s="4"/>
      <c r="N713" s="5"/>
    </row>
    <row r="714" ht="15.75" customHeight="1">
      <c r="M714" s="4"/>
      <c r="N714" s="5"/>
    </row>
    <row r="715" ht="15.75" customHeight="1">
      <c r="M715" s="4"/>
      <c r="N715" s="5"/>
    </row>
    <row r="716" ht="15.75" customHeight="1">
      <c r="M716" s="4"/>
      <c r="N716" s="5"/>
    </row>
    <row r="717" ht="15.75" customHeight="1">
      <c r="M717" s="4"/>
      <c r="N717" s="5"/>
    </row>
    <row r="718" ht="15.75" customHeight="1">
      <c r="M718" s="4"/>
      <c r="N718" s="5"/>
    </row>
    <row r="719" ht="15.75" customHeight="1">
      <c r="M719" s="4"/>
      <c r="N719" s="5"/>
    </row>
    <row r="720" ht="15.75" customHeight="1">
      <c r="M720" s="4"/>
      <c r="N720" s="5"/>
    </row>
    <row r="721" ht="15.75" customHeight="1">
      <c r="M721" s="4"/>
      <c r="N721" s="5"/>
    </row>
    <row r="722" ht="15.75" customHeight="1">
      <c r="M722" s="4"/>
      <c r="N722" s="5"/>
    </row>
    <row r="723" ht="15.75" customHeight="1">
      <c r="M723" s="4"/>
      <c r="N723" s="5"/>
    </row>
    <row r="724" ht="15.75" customHeight="1">
      <c r="M724" s="4"/>
      <c r="N724" s="5"/>
    </row>
    <row r="725" ht="15.75" customHeight="1">
      <c r="M725" s="4"/>
      <c r="N725" s="5"/>
    </row>
    <row r="726" ht="15.75" customHeight="1">
      <c r="M726" s="4"/>
      <c r="N726" s="5"/>
    </row>
    <row r="727" ht="15.75" customHeight="1">
      <c r="M727" s="4"/>
      <c r="N727" s="5"/>
    </row>
    <row r="728" ht="15.75" customHeight="1">
      <c r="M728" s="4"/>
      <c r="N728" s="5"/>
    </row>
    <row r="729" ht="15.75" customHeight="1">
      <c r="M729" s="4"/>
      <c r="N729" s="5"/>
    </row>
    <row r="730" ht="15.75" customHeight="1">
      <c r="M730" s="4"/>
      <c r="N730" s="5"/>
    </row>
    <row r="731" ht="15.75" customHeight="1">
      <c r="M731" s="4"/>
      <c r="N731" s="5"/>
    </row>
    <row r="732" ht="15.75" customHeight="1">
      <c r="M732" s="4"/>
      <c r="N732" s="5"/>
    </row>
    <row r="733" ht="15.75" customHeight="1">
      <c r="M733" s="4"/>
      <c r="N733" s="5"/>
    </row>
    <row r="734" ht="15.75" customHeight="1">
      <c r="M734" s="4"/>
      <c r="N734" s="5"/>
    </row>
    <row r="735" ht="15.75" customHeight="1">
      <c r="M735" s="4"/>
      <c r="N735" s="5"/>
    </row>
    <row r="736" ht="15.75" customHeight="1">
      <c r="M736" s="4"/>
      <c r="N736" s="5"/>
    </row>
    <row r="737" ht="15.75" customHeight="1">
      <c r="M737" s="4"/>
      <c r="N737" s="5"/>
    </row>
    <row r="738" ht="15.75" customHeight="1">
      <c r="M738" s="4"/>
      <c r="N738" s="5"/>
    </row>
    <row r="739" ht="15.75" customHeight="1">
      <c r="M739" s="4"/>
      <c r="N739" s="5"/>
    </row>
    <row r="740" ht="15.75" customHeight="1">
      <c r="M740" s="4"/>
      <c r="N740" s="5"/>
    </row>
    <row r="741" ht="15.75" customHeight="1">
      <c r="M741" s="4"/>
      <c r="N741" s="5"/>
    </row>
    <row r="742" ht="15.75" customHeight="1">
      <c r="M742" s="4"/>
      <c r="N742" s="5"/>
    </row>
    <row r="743" ht="15.75" customHeight="1">
      <c r="M743" s="4"/>
      <c r="N743" s="5"/>
    </row>
    <row r="744" ht="15.75" customHeight="1">
      <c r="M744" s="4"/>
      <c r="N744" s="5"/>
    </row>
    <row r="745" ht="15.75" customHeight="1">
      <c r="M745" s="4"/>
      <c r="N745" s="5"/>
    </row>
    <row r="746" ht="15.75" customHeight="1">
      <c r="M746" s="4"/>
      <c r="N746" s="5"/>
    </row>
    <row r="747" ht="15.75" customHeight="1">
      <c r="M747" s="4"/>
      <c r="N747" s="5"/>
    </row>
    <row r="748" ht="15.75" customHeight="1">
      <c r="M748" s="4"/>
      <c r="N748" s="5"/>
    </row>
    <row r="749" ht="15.75" customHeight="1">
      <c r="M749" s="4"/>
      <c r="N749" s="5"/>
    </row>
    <row r="750" ht="15.75" customHeight="1">
      <c r="M750" s="4"/>
      <c r="N750" s="5"/>
    </row>
    <row r="751" ht="15.75" customHeight="1">
      <c r="M751" s="4"/>
      <c r="N751" s="5"/>
    </row>
    <row r="752" ht="15.75" customHeight="1">
      <c r="M752" s="4"/>
      <c r="N752" s="5"/>
    </row>
    <row r="753" ht="15.75" customHeight="1">
      <c r="M753" s="4"/>
      <c r="N753" s="5"/>
    </row>
    <row r="754" ht="15.75" customHeight="1">
      <c r="M754" s="4"/>
      <c r="N754" s="5"/>
    </row>
    <row r="755" ht="15.75" customHeight="1">
      <c r="M755" s="4"/>
      <c r="N755" s="5"/>
    </row>
    <row r="756" ht="15.75" customHeight="1">
      <c r="M756" s="4"/>
      <c r="N756" s="5"/>
    </row>
    <row r="757" ht="15.75" customHeight="1">
      <c r="M757" s="4"/>
      <c r="N757" s="5"/>
    </row>
    <row r="758" ht="15.75" customHeight="1">
      <c r="M758" s="4"/>
      <c r="N758" s="5"/>
    </row>
    <row r="759" ht="15.75" customHeight="1">
      <c r="M759" s="4"/>
      <c r="N759" s="5"/>
    </row>
    <row r="760" ht="15.75" customHeight="1">
      <c r="M760" s="4"/>
      <c r="N760" s="5"/>
    </row>
    <row r="761" ht="15.75" customHeight="1">
      <c r="M761" s="4"/>
      <c r="N761" s="5"/>
    </row>
    <row r="762" ht="15.75" customHeight="1">
      <c r="M762" s="4"/>
      <c r="N762" s="5"/>
    </row>
    <row r="763" ht="15.75" customHeight="1">
      <c r="M763" s="4"/>
      <c r="N763" s="5"/>
    </row>
    <row r="764" ht="15.75" customHeight="1">
      <c r="M764" s="4"/>
      <c r="N764" s="5"/>
    </row>
    <row r="765" ht="15.75" customHeight="1">
      <c r="M765" s="4"/>
      <c r="N765" s="5"/>
    </row>
    <row r="766" ht="15.75" customHeight="1">
      <c r="M766" s="4"/>
      <c r="N766" s="5"/>
    </row>
    <row r="767" ht="15.75" customHeight="1">
      <c r="M767" s="4"/>
      <c r="N767" s="5"/>
    </row>
    <row r="768" ht="15.75" customHeight="1">
      <c r="M768" s="4"/>
      <c r="N768" s="5"/>
    </row>
    <row r="769" ht="15.75" customHeight="1">
      <c r="M769" s="4"/>
      <c r="N769" s="5"/>
    </row>
    <row r="770" ht="15.75" customHeight="1">
      <c r="M770" s="4"/>
      <c r="N770" s="5"/>
    </row>
    <row r="771" ht="15.75" customHeight="1">
      <c r="M771" s="4"/>
      <c r="N771" s="5"/>
    </row>
    <row r="772" ht="15.75" customHeight="1">
      <c r="M772" s="4"/>
      <c r="N772" s="5"/>
    </row>
    <row r="773" ht="15.75" customHeight="1">
      <c r="M773" s="4"/>
      <c r="N773" s="5"/>
    </row>
    <row r="774" ht="15.75" customHeight="1">
      <c r="M774" s="4"/>
      <c r="N774" s="5"/>
    </row>
    <row r="775" ht="15.75" customHeight="1">
      <c r="M775" s="4"/>
      <c r="N775" s="5"/>
    </row>
    <row r="776" ht="15.75" customHeight="1">
      <c r="M776" s="4"/>
      <c r="N776" s="5"/>
    </row>
    <row r="777" ht="15.75" customHeight="1">
      <c r="M777" s="4"/>
      <c r="N777" s="5"/>
    </row>
    <row r="778" ht="15.75" customHeight="1">
      <c r="M778" s="4"/>
      <c r="N778" s="5"/>
    </row>
    <row r="779" ht="15.75" customHeight="1">
      <c r="M779" s="4"/>
      <c r="N779" s="5"/>
    </row>
    <row r="780" ht="15.75" customHeight="1">
      <c r="M780" s="4"/>
      <c r="N780" s="5"/>
    </row>
    <row r="781" ht="15.75" customHeight="1">
      <c r="M781" s="4"/>
      <c r="N781" s="5"/>
    </row>
    <row r="782" ht="15.75" customHeight="1">
      <c r="M782" s="4"/>
      <c r="N782" s="5"/>
    </row>
    <row r="783" ht="15.75" customHeight="1">
      <c r="M783" s="4"/>
      <c r="N783" s="5"/>
    </row>
    <row r="784" ht="15.75" customHeight="1">
      <c r="M784" s="4"/>
      <c r="N784" s="5"/>
    </row>
    <row r="785" ht="15.75" customHeight="1">
      <c r="M785" s="4"/>
      <c r="N785" s="5"/>
    </row>
    <row r="786" ht="15.75" customHeight="1">
      <c r="M786" s="4"/>
      <c r="N786" s="5"/>
    </row>
    <row r="787" ht="15.75" customHeight="1">
      <c r="M787" s="4"/>
      <c r="N787" s="5"/>
    </row>
    <row r="788" ht="15.75" customHeight="1">
      <c r="M788" s="4"/>
      <c r="N788" s="5"/>
    </row>
    <row r="789" ht="15.75" customHeight="1">
      <c r="M789" s="4"/>
      <c r="N789" s="5"/>
    </row>
    <row r="790" ht="15.75" customHeight="1">
      <c r="M790" s="4"/>
      <c r="N790" s="5"/>
    </row>
    <row r="791" ht="15.75" customHeight="1">
      <c r="M791" s="4"/>
      <c r="N791" s="5"/>
    </row>
    <row r="792" ht="15.75" customHeight="1">
      <c r="M792" s="4"/>
      <c r="N792" s="5"/>
    </row>
    <row r="793" ht="15.75" customHeight="1">
      <c r="M793" s="4"/>
      <c r="N793" s="5"/>
    </row>
    <row r="794" ht="15.75" customHeight="1">
      <c r="M794" s="4"/>
      <c r="N794" s="5"/>
    </row>
    <row r="795" ht="15.75" customHeight="1">
      <c r="M795" s="4"/>
      <c r="N795" s="5"/>
    </row>
    <row r="796" ht="15.75" customHeight="1">
      <c r="M796" s="4"/>
      <c r="N796" s="5"/>
    </row>
    <row r="797" ht="15.75" customHeight="1">
      <c r="M797" s="4"/>
      <c r="N797" s="5"/>
    </row>
    <row r="798" ht="15.75" customHeight="1">
      <c r="M798" s="4"/>
      <c r="N798" s="5"/>
    </row>
    <row r="799" ht="15.75" customHeight="1">
      <c r="M799" s="4"/>
      <c r="N799" s="5"/>
    </row>
    <row r="800" ht="15.75" customHeight="1">
      <c r="M800" s="4"/>
      <c r="N800" s="5"/>
    </row>
    <row r="801" ht="15.75" customHeight="1">
      <c r="M801" s="4"/>
      <c r="N801" s="5"/>
    </row>
    <row r="802" ht="15.75" customHeight="1">
      <c r="M802" s="4"/>
      <c r="N802" s="5"/>
    </row>
    <row r="803" ht="15.75" customHeight="1">
      <c r="M803" s="4"/>
      <c r="N803" s="5"/>
    </row>
    <row r="804" ht="15.75" customHeight="1">
      <c r="M804" s="4"/>
      <c r="N804" s="5"/>
    </row>
    <row r="805" ht="15.75" customHeight="1">
      <c r="M805" s="4"/>
      <c r="N805" s="5"/>
    </row>
    <row r="806" ht="15.75" customHeight="1">
      <c r="M806" s="4"/>
      <c r="N806" s="5"/>
    </row>
    <row r="807" ht="15.75" customHeight="1">
      <c r="M807" s="4"/>
      <c r="N807" s="5"/>
    </row>
    <row r="808" ht="15.75" customHeight="1">
      <c r="M808" s="4"/>
      <c r="N808" s="5"/>
    </row>
    <row r="809" ht="15.75" customHeight="1">
      <c r="M809" s="4"/>
      <c r="N809" s="5"/>
    </row>
    <row r="810" ht="15.75" customHeight="1">
      <c r="M810" s="4"/>
      <c r="N810" s="5"/>
    </row>
    <row r="811" ht="15.75" customHeight="1">
      <c r="M811" s="4"/>
      <c r="N811" s="5"/>
    </row>
    <row r="812" ht="15.75" customHeight="1">
      <c r="M812" s="4"/>
      <c r="N812" s="5"/>
    </row>
    <row r="813" ht="15.75" customHeight="1">
      <c r="M813" s="4"/>
      <c r="N813" s="5"/>
    </row>
    <row r="814" ht="15.75" customHeight="1">
      <c r="M814" s="4"/>
      <c r="N814" s="5"/>
    </row>
    <row r="815" ht="15.75" customHeight="1">
      <c r="M815" s="4"/>
      <c r="N815" s="5"/>
    </row>
    <row r="816" ht="15.75" customHeight="1">
      <c r="M816" s="4"/>
      <c r="N816" s="5"/>
    </row>
    <row r="817" ht="15.75" customHeight="1">
      <c r="M817" s="4"/>
      <c r="N817" s="5"/>
    </row>
    <row r="818" ht="15.75" customHeight="1">
      <c r="M818" s="4"/>
      <c r="N818" s="5"/>
    </row>
    <row r="819" ht="15.75" customHeight="1">
      <c r="M819" s="4"/>
      <c r="N819" s="5"/>
    </row>
    <row r="820" ht="15.75" customHeight="1">
      <c r="M820" s="4"/>
      <c r="N820" s="5"/>
    </row>
    <row r="821" ht="15.75" customHeight="1">
      <c r="M821" s="4"/>
      <c r="N821" s="5"/>
    </row>
    <row r="822" ht="15.75" customHeight="1">
      <c r="M822" s="4"/>
      <c r="N822" s="5"/>
    </row>
    <row r="823" ht="15.75" customHeight="1">
      <c r="M823" s="4"/>
      <c r="N823" s="5"/>
    </row>
    <row r="824" ht="15.75" customHeight="1">
      <c r="M824" s="4"/>
      <c r="N824" s="5"/>
    </row>
    <row r="825" ht="15.75" customHeight="1">
      <c r="M825" s="4"/>
      <c r="N825" s="5"/>
    </row>
    <row r="826" ht="15.75" customHeight="1">
      <c r="M826" s="4"/>
      <c r="N826" s="5"/>
    </row>
    <row r="827" ht="15.75" customHeight="1">
      <c r="M827" s="4"/>
      <c r="N827" s="5"/>
    </row>
    <row r="828" ht="15.75" customHeight="1">
      <c r="M828" s="4"/>
      <c r="N828" s="5"/>
    </row>
    <row r="829" ht="15.75" customHeight="1">
      <c r="M829" s="4"/>
      <c r="N829" s="5"/>
    </row>
    <row r="830" ht="15.75" customHeight="1">
      <c r="M830" s="4"/>
      <c r="N830" s="5"/>
    </row>
    <row r="831" ht="15.75" customHeight="1">
      <c r="M831" s="4"/>
      <c r="N831" s="5"/>
    </row>
    <row r="832" ht="15.75" customHeight="1">
      <c r="M832" s="4"/>
      <c r="N832" s="5"/>
    </row>
    <row r="833" ht="15.75" customHeight="1">
      <c r="M833" s="4"/>
      <c r="N833" s="5"/>
    </row>
    <row r="834" ht="15.75" customHeight="1">
      <c r="M834" s="4"/>
      <c r="N834" s="5"/>
    </row>
    <row r="835" ht="15.75" customHeight="1">
      <c r="M835" s="4"/>
      <c r="N835" s="5"/>
    </row>
    <row r="836" ht="15.75" customHeight="1">
      <c r="M836" s="4"/>
      <c r="N836" s="5"/>
    </row>
    <row r="837" ht="15.75" customHeight="1">
      <c r="M837" s="4"/>
      <c r="N837" s="5"/>
    </row>
    <row r="838" ht="15.75" customHeight="1">
      <c r="M838" s="4"/>
      <c r="N838" s="5"/>
    </row>
    <row r="839" ht="15.75" customHeight="1">
      <c r="M839" s="4"/>
      <c r="N839" s="5"/>
    </row>
    <row r="840" ht="15.75" customHeight="1">
      <c r="M840" s="4"/>
      <c r="N840" s="5"/>
    </row>
    <row r="841" ht="15.75" customHeight="1">
      <c r="M841" s="4"/>
      <c r="N841" s="5"/>
    </row>
    <row r="842" ht="15.75" customHeight="1">
      <c r="M842" s="4"/>
      <c r="N842" s="5"/>
    </row>
    <row r="843" ht="15.75" customHeight="1">
      <c r="M843" s="4"/>
      <c r="N843" s="5"/>
    </row>
    <row r="844" ht="15.75" customHeight="1">
      <c r="M844" s="4"/>
      <c r="N844" s="5"/>
    </row>
    <row r="845" ht="15.75" customHeight="1">
      <c r="M845" s="4"/>
      <c r="N845" s="5"/>
    </row>
    <row r="846" ht="15.75" customHeight="1">
      <c r="M846" s="4"/>
      <c r="N846" s="5"/>
    </row>
    <row r="847" ht="15.75" customHeight="1">
      <c r="M847" s="4"/>
      <c r="N847" s="5"/>
    </row>
    <row r="848" ht="15.75" customHeight="1">
      <c r="M848" s="4"/>
      <c r="N848" s="5"/>
    </row>
    <row r="849" ht="15.75" customHeight="1">
      <c r="M849" s="4"/>
      <c r="N849" s="5"/>
    </row>
    <row r="850" ht="15.75" customHeight="1">
      <c r="M850" s="4"/>
      <c r="N850" s="5"/>
    </row>
    <row r="851" ht="15.75" customHeight="1">
      <c r="M851" s="4"/>
      <c r="N851" s="5"/>
    </row>
    <row r="852" ht="15.75" customHeight="1">
      <c r="M852" s="4"/>
      <c r="N852" s="5"/>
    </row>
    <row r="853" ht="15.75" customHeight="1">
      <c r="M853" s="4"/>
      <c r="N853" s="5"/>
    </row>
    <row r="854" ht="15.75" customHeight="1">
      <c r="M854" s="4"/>
      <c r="N854" s="5"/>
    </row>
    <row r="855" ht="15.75" customHeight="1">
      <c r="M855" s="4"/>
      <c r="N855" s="5"/>
    </row>
    <row r="856" ht="15.75" customHeight="1">
      <c r="M856" s="4"/>
      <c r="N856" s="5"/>
    </row>
    <row r="857" ht="15.75" customHeight="1">
      <c r="M857" s="4"/>
      <c r="N857" s="5"/>
    </row>
    <row r="858" ht="15.75" customHeight="1">
      <c r="M858" s="4"/>
      <c r="N858" s="5"/>
    </row>
    <row r="859" ht="15.75" customHeight="1">
      <c r="M859" s="4"/>
      <c r="N859" s="5"/>
    </row>
    <row r="860" ht="15.75" customHeight="1">
      <c r="M860" s="4"/>
      <c r="N860" s="5"/>
    </row>
    <row r="861" ht="15.75" customHeight="1">
      <c r="M861" s="4"/>
      <c r="N861" s="5"/>
    </row>
    <row r="862" ht="15.75" customHeight="1">
      <c r="M862" s="4"/>
      <c r="N862" s="5"/>
    </row>
    <row r="863" ht="15.75" customHeight="1">
      <c r="M863" s="4"/>
      <c r="N863" s="5"/>
    </row>
    <row r="864" ht="15.75" customHeight="1">
      <c r="M864" s="4"/>
      <c r="N864" s="5"/>
    </row>
    <row r="865" ht="15.75" customHeight="1">
      <c r="M865" s="4"/>
      <c r="N865" s="5"/>
    </row>
    <row r="866" ht="15.75" customHeight="1">
      <c r="M866" s="4"/>
      <c r="N866" s="5"/>
    </row>
    <row r="867" ht="15.75" customHeight="1">
      <c r="M867" s="4"/>
      <c r="N867" s="5"/>
    </row>
    <row r="868" ht="15.75" customHeight="1">
      <c r="M868" s="4"/>
      <c r="N868" s="5"/>
    </row>
    <row r="869" ht="15.75" customHeight="1">
      <c r="M869" s="4"/>
      <c r="N869" s="5"/>
    </row>
    <row r="870" ht="15.75" customHeight="1">
      <c r="M870" s="4"/>
      <c r="N870" s="5"/>
    </row>
    <row r="871" ht="15.75" customHeight="1">
      <c r="M871" s="4"/>
      <c r="N871" s="5"/>
    </row>
    <row r="872" ht="15.75" customHeight="1">
      <c r="M872" s="4"/>
      <c r="N872" s="5"/>
    </row>
    <row r="873" ht="15.75" customHeight="1">
      <c r="M873" s="4"/>
      <c r="N873" s="5"/>
    </row>
    <row r="874" ht="15.75" customHeight="1">
      <c r="M874" s="4"/>
      <c r="N874" s="5"/>
    </row>
    <row r="875" ht="15.75" customHeight="1">
      <c r="M875" s="4"/>
      <c r="N875" s="5"/>
    </row>
    <row r="876" ht="15.75" customHeight="1">
      <c r="M876" s="4"/>
      <c r="N876" s="5"/>
    </row>
    <row r="877" ht="15.75" customHeight="1">
      <c r="M877" s="4"/>
      <c r="N877" s="5"/>
    </row>
    <row r="878" ht="15.75" customHeight="1">
      <c r="M878" s="4"/>
      <c r="N878" s="5"/>
    </row>
    <row r="879" ht="15.75" customHeight="1">
      <c r="M879" s="4"/>
      <c r="N879" s="5"/>
    </row>
    <row r="880" ht="15.75" customHeight="1">
      <c r="M880" s="4"/>
      <c r="N880" s="5"/>
    </row>
    <row r="881" ht="15.75" customHeight="1">
      <c r="M881" s="4"/>
      <c r="N881" s="5"/>
    </row>
    <row r="882" ht="15.75" customHeight="1">
      <c r="M882" s="4"/>
      <c r="N882" s="5"/>
    </row>
    <row r="883" ht="15.75" customHeight="1">
      <c r="M883" s="4"/>
      <c r="N883" s="5"/>
    </row>
    <row r="884" ht="15.75" customHeight="1">
      <c r="M884" s="4"/>
      <c r="N884" s="5"/>
    </row>
    <row r="885" ht="15.75" customHeight="1">
      <c r="M885" s="4"/>
      <c r="N885" s="5"/>
    </row>
    <row r="886" ht="15.75" customHeight="1">
      <c r="M886" s="4"/>
      <c r="N886" s="5"/>
    </row>
    <row r="887" ht="15.75" customHeight="1">
      <c r="M887" s="4"/>
      <c r="N887" s="5"/>
    </row>
    <row r="888" ht="15.75" customHeight="1">
      <c r="M888" s="4"/>
      <c r="N888" s="5"/>
    </row>
    <row r="889" ht="15.75" customHeight="1">
      <c r="M889" s="4"/>
      <c r="N889" s="5"/>
    </row>
    <row r="890" ht="15.75" customHeight="1">
      <c r="M890" s="4"/>
      <c r="N890" s="5"/>
    </row>
    <row r="891" ht="15.75" customHeight="1">
      <c r="M891" s="4"/>
      <c r="N891" s="5"/>
    </row>
    <row r="892" ht="15.75" customHeight="1">
      <c r="M892" s="4"/>
      <c r="N892" s="5"/>
    </row>
    <row r="893" ht="15.75" customHeight="1">
      <c r="M893" s="4"/>
      <c r="N893" s="5"/>
    </row>
    <row r="894" ht="15.75" customHeight="1">
      <c r="M894" s="4"/>
      <c r="N894" s="5"/>
    </row>
    <row r="895" ht="15.75" customHeight="1">
      <c r="M895" s="4"/>
      <c r="N895" s="5"/>
    </row>
    <row r="896" ht="15.75" customHeight="1">
      <c r="M896" s="4"/>
      <c r="N896" s="5"/>
    </row>
    <row r="897" ht="15.75" customHeight="1">
      <c r="M897" s="4"/>
      <c r="N897" s="5"/>
    </row>
    <row r="898" ht="15.75" customHeight="1">
      <c r="M898" s="4"/>
      <c r="N898" s="5"/>
    </row>
    <row r="899" ht="15.75" customHeight="1">
      <c r="M899" s="4"/>
      <c r="N899" s="5"/>
    </row>
    <row r="900" ht="15.75" customHeight="1">
      <c r="M900" s="4"/>
      <c r="N900" s="5"/>
    </row>
    <row r="901" ht="15.75" customHeight="1">
      <c r="M901" s="4"/>
      <c r="N901" s="5"/>
    </row>
    <row r="902" ht="15.75" customHeight="1">
      <c r="M902" s="4"/>
      <c r="N902" s="5"/>
    </row>
    <row r="903" ht="15.75" customHeight="1">
      <c r="M903" s="4"/>
      <c r="N903" s="5"/>
    </row>
    <row r="904" ht="15.75" customHeight="1">
      <c r="M904" s="4"/>
      <c r="N904" s="5"/>
    </row>
    <row r="905" ht="15.75" customHeight="1">
      <c r="M905" s="4"/>
      <c r="N905" s="5"/>
    </row>
    <row r="906" ht="15.75" customHeight="1">
      <c r="M906" s="4"/>
      <c r="N906" s="5"/>
    </row>
    <row r="907" ht="15.75" customHeight="1">
      <c r="M907" s="4"/>
      <c r="N907" s="5"/>
    </row>
    <row r="908" ht="15.75" customHeight="1">
      <c r="M908" s="4"/>
      <c r="N908" s="5"/>
    </row>
    <row r="909" ht="15.75" customHeight="1">
      <c r="M909" s="4"/>
      <c r="N909" s="5"/>
    </row>
    <row r="910" ht="15.75" customHeight="1">
      <c r="M910" s="4"/>
      <c r="N910" s="5"/>
    </row>
    <row r="911" ht="15.75" customHeight="1">
      <c r="M911" s="4"/>
      <c r="N911" s="5"/>
    </row>
    <row r="912" ht="15.75" customHeight="1">
      <c r="M912" s="4"/>
      <c r="N912" s="5"/>
    </row>
    <row r="913" ht="15.75" customHeight="1">
      <c r="M913" s="4"/>
      <c r="N913" s="5"/>
    </row>
    <row r="914" ht="15.75" customHeight="1">
      <c r="M914" s="4"/>
      <c r="N914" s="5"/>
    </row>
    <row r="915" ht="15.75" customHeight="1">
      <c r="M915" s="4"/>
      <c r="N915" s="5"/>
    </row>
    <row r="916" ht="15.75" customHeight="1">
      <c r="M916" s="4"/>
      <c r="N916" s="5"/>
    </row>
    <row r="917" ht="15.75" customHeight="1">
      <c r="M917" s="4"/>
      <c r="N917" s="5"/>
    </row>
    <row r="918" ht="15.75" customHeight="1">
      <c r="M918" s="4"/>
      <c r="N918" s="5"/>
    </row>
    <row r="919" ht="15.75" customHeight="1">
      <c r="M919" s="4"/>
      <c r="N919" s="5"/>
    </row>
    <row r="920" ht="15.75" customHeight="1">
      <c r="M920" s="4"/>
      <c r="N920" s="5"/>
    </row>
    <row r="921" ht="15.75" customHeight="1">
      <c r="M921" s="4"/>
      <c r="N921" s="5"/>
    </row>
    <row r="922" ht="15.75" customHeight="1">
      <c r="M922" s="4"/>
      <c r="N922" s="5"/>
    </row>
    <row r="923" ht="15.75" customHeight="1">
      <c r="M923" s="4"/>
      <c r="N923" s="5"/>
    </row>
    <row r="924" ht="15.75" customHeight="1">
      <c r="M924" s="4"/>
      <c r="N924" s="5"/>
    </row>
    <row r="925" ht="15.75" customHeight="1">
      <c r="M925" s="4"/>
      <c r="N925" s="5"/>
    </row>
    <row r="926" ht="15.75" customHeight="1">
      <c r="M926" s="4"/>
      <c r="N926" s="5"/>
    </row>
    <row r="927" ht="15.75" customHeight="1">
      <c r="M927" s="4"/>
      <c r="N927" s="5"/>
    </row>
    <row r="928" ht="15.75" customHeight="1">
      <c r="M928" s="4"/>
      <c r="N928" s="5"/>
    </row>
    <row r="929" ht="15.75" customHeight="1">
      <c r="M929" s="4"/>
      <c r="N929" s="5"/>
    </row>
    <row r="930" ht="15.75" customHeight="1">
      <c r="M930" s="4"/>
      <c r="N930" s="5"/>
    </row>
    <row r="931" ht="15.75" customHeight="1">
      <c r="M931" s="4"/>
      <c r="N931" s="5"/>
    </row>
    <row r="932" ht="15.75" customHeight="1">
      <c r="M932" s="4"/>
      <c r="N932" s="5"/>
    </row>
    <row r="933" ht="15.75" customHeight="1">
      <c r="M933" s="4"/>
      <c r="N933" s="5"/>
    </row>
    <row r="934" ht="15.75" customHeight="1">
      <c r="M934" s="4"/>
      <c r="N934" s="5"/>
    </row>
    <row r="935" ht="15.75" customHeight="1">
      <c r="M935" s="4"/>
      <c r="N935" s="5"/>
    </row>
    <row r="936" ht="15.75" customHeight="1">
      <c r="M936" s="4"/>
      <c r="N936" s="5"/>
    </row>
    <row r="937" ht="15.75" customHeight="1">
      <c r="M937" s="4"/>
      <c r="N937" s="5"/>
    </row>
    <row r="938" ht="15.75" customHeight="1">
      <c r="M938" s="4"/>
      <c r="N938" s="5"/>
    </row>
    <row r="939" ht="15.75" customHeight="1">
      <c r="M939" s="4"/>
      <c r="N939" s="5"/>
    </row>
    <row r="940" ht="15.75" customHeight="1">
      <c r="M940" s="4"/>
      <c r="N940" s="5"/>
    </row>
    <row r="941" ht="15.75" customHeight="1">
      <c r="M941" s="4"/>
      <c r="N941" s="5"/>
    </row>
    <row r="942" ht="15.75" customHeight="1">
      <c r="M942" s="4"/>
      <c r="N942" s="5"/>
    </row>
    <row r="943" ht="15.75" customHeight="1">
      <c r="M943" s="4"/>
      <c r="N943" s="5"/>
    </row>
    <row r="944" ht="15.75" customHeight="1">
      <c r="M944" s="4"/>
      <c r="N944" s="5"/>
    </row>
    <row r="945" ht="15.75" customHeight="1">
      <c r="M945" s="4"/>
      <c r="N945" s="5"/>
    </row>
    <row r="946" ht="15.75" customHeight="1">
      <c r="M946" s="4"/>
      <c r="N946" s="5"/>
    </row>
    <row r="947" ht="15.75" customHeight="1">
      <c r="M947" s="4"/>
      <c r="N947" s="5"/>
    </row>
    <row r="948" ht="15.75" customHeight="1">
      <c r="M948" s="4"/>
      <c r="N948" s="5"/>
    </row>
    <row r="949" ht="15.75" customHeight="1">
      <c r="M949" s="4"/>
      <c r="N949" s="5"/>
    </row>
    <row r="950" ht="15.75" customHeight="1">
      <c r="M950" s="4"/>
      <c r="N950" s="5"/>
    </row>
    <row r="951" ht="15.75" customHeight="1">
      <c r="M951" s="4"/>
      <c r="N951" s="5"/>
    </row>
    <row r="952" ht="15.75" customHeight="1">
      <c r="M952" s="4"/>
      <c r="N952" s="5"/>
    </row>
    <row r="953" ht="15.75" customHeight="1">
      <c r="M953" s="4"/>
      <c r="N953" s="5"/>
    </row>
    <row r="954" ht="15.75" customHeight="1">
      <c r="M954" s="4"/>
      <c r="N954" s="5"/>
    </row>
    <row r="955" ht="15.75" customHeight="1">
      <c r="M955" s="4"/>
      <c r="N955" s="5"/>
    </row>
    <row r="956" ht="15.75" customHeight="1">
      <c r="M956" s="4"/>
      <c r="N956" s="5"/>
    </row>
    <row r="957" ht="15.75" customHeight="1">
      <c r="M957" s="4"/>
      <c r="N957" s="5"/>
    </row>
    <row r="958" ht="15.75" customHeight="1">
      <c r="M958" s="4"/>
      <c r="N958" s="5"/>
    </row>
    <row r="959" ht="15.75" customHeight="1">
      <c r="M959" s="4"/>
      <c r="N959" s="5"/>
    </row>
    <row r="960" ht="15.75" customHeight="1">
      <c r="M960" s="4"/>
      <c r="N960" s="5"/>
    </row>
    <row r="961" ht="15.75" customHeight="1">
      <c r="M961" s="4"/>
      <c r="N961" s="5"/>
    </row>
    <row r="962" ht="15.75" customHeight="1">
      <c r="M962" s="4"/>
      <c r="N962" s="5"/>
    </row>
    <row r="963" ht="15.75" customHeight="1">
      <c r="M963" s="4"/>
      <c r="N963" s="5"/>
    </row>
    <row r="964" ht="15.75" customHeight="1">
      <c r="M964" s="4"/>
      <c r="N964" s="5"/>
    </row>
    <row r="965" ht="15.75" customHeight="1">
      <c r="M965" s="4"/>
      <c r="N965" s="5"/>
    </row>
    <row r="966" ht="15.75" customHeight="1">
      <c r="M966" s="4"/>
      <c r="N966" s="5"/>
    </row>
    <row r="967" ht="15.75" customHeight="1">
      <c r="M967" s="4"/>
      <c r="N967" s="5"/>
    </row>
    <row r="968" ht="15.75" customHeight="1">
      <c r="M968" s="4"/>
      <c r="N968" s="5"/>
    </row>
    <row r="969" ht="15.75" customHeight="1">
      <c r="M969" s="4"/>
      <c r="N969" s="5"/>
    </row>
    <row r="970" ht="15.75" customHeight="1">
      <c r="M970" s="4"/>
      <c r="N970" s="5"/>
    </row>
    <row r="971" ht="15.75" customHeight="1">
      <c r="M971" s="4"/>
      <c r="N971" s="5"/>
    </row>
    <row r="972" ht="15.75" customHeight="1">
      <c r="M972" s="4"/>
      <c r="N972" s="5"/>
    </row>
    <row r="973" ht="15.75" customHeight="1">
      <c r="M973" s="4"/>
      <c r="N973" s="5"/>
    </row>
    <row r="974" ht="15.75" customHeight="1">
      <c r="M974" s="4"/>
      <c r="N974" s="5"/>
    </row>
    <row r="975" ht="15.75" customHeight="1">
      <c r="M975" s="4"/>
      <c r="N975" s="5"/>
    </row>
    <row r="976" ht="15.75" customHeight="1">
      <c r="M976" s="4"/>
      <c r="N976" s="5"/>
    </row>
    <row r="977" ht="15.75" customHeight="1">
      <c r="M977" s="4"/>
      <c r="N977" s="5"/>
    </row>
    <row r="978" ht="15.75" customHeight="1">
      <c r="M978" s="4"/>
      <c r="N978" s="5"/>
    </row>
    <row r="979" ht="15.75" customHeight="1">
      <c r="M979" s="4"/>
      <c r="N979" s="5"/>
    </row>
    <row r="980" ht="15.75" customHeight="1">
      <c r="M980" s="4"/>
      <c r="N980" s="5"/>
    </row>
    <row r="981" ht="15.75" customHeight="1">
      <c r="M981" s="4"/>
      <c r="N981" s="5"/>
    </row>
    <row r="982" ht="15.75" customHeight="1">
      <c r="M982" s="4"/>
      <c r="N982" s="5"/>
    </row>
    <row r="983" ht="15.75" customHeight="1">
      <c r="M983" s="4"/>
      <c r="N983" s="5"/>
    </row>
    <row r="984" ht="15.75" customHeight="1">
      <c r="M984" s="4"/>
      <c r="N984" s="5"/>
    </row>
    <row r="985" ht="15.75" customHeight="1">
      <c r="M985" s="4"/>
      <c r="N985" s="5"/>
    </row>
    <row r="986" ht="15.75" customHeight="1">
      <c r="M986" s="4"/>
      <c r="N986" s="5"/>
    </row>
    <row r="987" ht="15.75" customHeight="1">
      <c r="M987" s="4"/>
      <c r="N987" s="5"/>
    </row>
    <row r="988" ht="15.75" customHeight="1">
      <c r="M988" s="4"/>
      <c r="N988" s="5"/>
    </row>
    <row r="989" ht="15.75" customHeight="1">
      <c r="M989" s="4"/>
      <c r="N989" s="5"/>
    </row>
    <row r="990" ht="15.75" customHeight="1">
      <c r="M990" s="4"/>
      <c r="N990" s="5"/>
    </row>
    <row r="991" ht="15.75" customHeight="1">
      <c r="M991" s="4"/>
      <c r="N991" s="5"/>
    </row>
    <row r="992" ht="15.75" customHeight="1">
      <c r="M992" s="4"/>
      <c r="N992" s="5"/>
    </row>
    <row r="993" ht="15.75" customHeight="1">
      <c r="M993" s="4"/>
      <c r="N993" s="5"/>
    </row>
    <row r="994" ht="15.75" customHeight="1">
      <c r="M994" s="4"/>
      <c r="N994" s="5"/>
    </row>
    <row r="995" ht="15.75" customHeight="1">
      <c r="M995" s="4"/>
      <c r="N995" s="5"/>
    </row>
    <row r="996" ht="15.75" customHeight="1">
      <c r="M996" s="4"/>
      <c r="N996" s="5"/>
    </row>
    <row r="997" ht="15.75" customHeight="1">
      <c r="M997" s="4"/>
      <c r="N997" s="5"/>
    </row>
    <row r="998" ht="15.75" customHeight="1">
      <c r="M998" s="4"/>
      <c r="N998" s="5"/>
    </row>
    <row r="999" ht="15.75" customHeight="1">
      <c r="M999" s="4"/>
      <c r="N999" s="5"/>
    </row>
    <row r="1000" ht="15.75" customHeight="1">
      <c r="M1000" s="4"/>
      <c r="N1000" s="5"/>
    </row>
  </sheetData>
  <mergeCells count="15">
    <mergeCell ref="L98:M98"/>
    <mergeCell ref="L99:M99"/>
    <mergeCell ref="L96:M97"/>
    <mergeCell ref="L100:M100"/>
    <mergeCell ref="B101:D101"/>
    <mergeCell ref="D107:G107"/>
    <mergeCell ref="D110:E110"/>
    <mergeCell ref="D111:E111"/>
    <mergeCell ref="B3:H3"/>
    <mergeCell ref="L3:O3"/>
    <mergeCell ref="N96:N97"/>
    <mergeCell ref="B97:D97"/>
    <mergeCell ref="B98:D98"/>
    <mergeCell ref="B99:D99"/>
    <mergeCell ref="B100:D100"/>
  </mergeCells>
  <printOptions/>
  <pageMargins bottom="0.75" footer="0.0" header="0.0" left="0.7" right="0.7" top="0.75"/>
  <pageSetup paperSize="9" orientation="portrait"/>
  <drawing r:id="rId1"/>
  <legacyDrawing r:id="rId2"/>
  <oleObjects>
    <oleObject progId="Объект упаковщика для оболочки" shapeId="1025" r:id="rId3"/>
    <oleObject progId="Объект упаковщика для оболочки" shapeId="1026" r:id="rId4"/>
  </oleObjec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43"/>
    <col customWidth="1" min="3" max="3" width="39.14"/>
    <col customWidth="1" min="4" max="4" width="17.29"/>
    <col customWidth="1" min="5" max="5" width="23.86"/>
    <col customWidth="1" min="6" max="6" width="21.71"/>
    <col customWidth="1" min="7" max="7" width="12.14"/>
    <col customWidth="1" min="8" max="8" width="27.0"/>
    <col customWidth="1" min="9" max="11" width="8.86"/>
    <col customWidth="1" min="12" max="12" width="23.43"/>
    <col customWidth="1" min="13" max="13" width="34.29"/>
    <col customWidth="1" min="14" max="14" width="12.71"/>
    <col customWidth="1" min="15" max="15" width="20.29"/>
    <col customWidth="1" min="16" max="16" width="9.29"/>
    <col customWidth="1" min="17" max="26" width="8.86"/>
  </cols>
  <sheetData>
    <row r="1">
      <c r="M1" s="4"/>
      <c r="N1" s="5"/>
    </row>
    <row r="2">
      <c r="M2" s="4"/>
      <c r="N2" s="5"/>
    </row>
    <row r="3" ht="16.5" customHeight="1">
      <c r="A3" s="7" t="s">
        <v>1</v>
      </c>
      <c r="B3" s="272" t="s">
        <v>2</v>
      </c>
      <c r="C3" s="117"/>
      <c r="D3" s="117"/>
      <c r="E3" s="117"/>
      <c r="F3" s="117"/>
      <c r="G3" s="117"/>
      <c r="H3" s="118"/>
      <c r="L3" s="273" t="s">
        <v>3</v>
      </c>
      <c r="M3" s="117"/>
      <c r="N3" s="117"/>
      <c r="O3" s="118"/>
    </row>
    <row r="4">
      <c r="B4" s="274" t="s">
        <v>8</v>
      </c>
      <c r="C4" s="275" t="s">
        <v>9</v>
      </c>
      <c r="D4" s="276" t="s">
        <v>10</v>
      </c>
      <c r="E4" s="277" t="s">
        <v>11</v>
      </c>
      <c r="F4" s="278" t="s">
        <v>12</v>
      </c>
      <c r="G4" s="279" t="s">
        <v>13</v>
      </c>
      <c r="H4" s="280" t="s">
        <v>14</v>
      </c>
      <c r="L4" s="281" t="s">
        <v>15</v>
      </c>
      <c r="M4" s="282" t="s">
        <v>9</v>
      </c>
      <c r="N4" s="283" t="s">
        <v>11</v>
      </c>
      <c r="O4" s="284" t="s">
        <v>16</v>
      </c>
    </row>
    <row r="5">
      <c r="B5" s="285" t="s">
        <v>26</v>
      </c>
      <c r="C5" s="286">
        <v>45602.0</v>
      </c>
      <c r="D5" s="287">
        <v>45602.0</v>
      </c>
      <c r="E5" s="288">
        <v>500.0</v>
      </c>
      <c r="F5" s="289"/>
      <c r="G5" s="290"/>
      <c r="H5" s="291"/>
      <c r="L5" s="44" t="s">
        <v>269</v>
      </c>
      <c r="M5" s="156">
        <v>45604.0</v>
      </c>
      <c r="N5" s="292">
        <v>1000.0</v>
      </c>
      <c r="O5" s="44"/>
    </row>
    <row r="6">
      <c r="B6" s="293" t="s">
        <v>61</v>
      </c>
      <c r="C6" s="160">
        <v>45602.0</v>
      </c>
      <c r="D6" s="294">
        <v>45602.0</v>
      </c>
      <c r="E6" s="295">
        <v>500.0</v>
      </c>
      <c r="F6" s="289"/>
      <c r="G6" s="296"/>
      <c r="H6" s="297"/>
      <c r="L6" s="44" t="s">
        <v>270</v>
      </c>
      <c r="M6" s="156">
        <v>45614.0</v>
      </c>
      <c r="N6" s="292">
        <v>500.0</v>
      </c>
      <c r="O6" s="44"/>
    </row>
    <row r="7">
      <c r="B7" s="293" t="s">
        <v>271</v>
      </c>
      <c r="C7" s="160">
        <v>45604.0</v>
      </c>
      <c r="D7" s="294">
        <v>45604.0</v>
      </c>
      <c r="E7" s="295">
        <v>500.0</v>
      </c>
      <c r="F7" s="289"/>
      <c r="G7" s="296"/>
      <c r="H7" s="297"/>
      <c r="L7" s="44" t="s">
        <v>272</v>
      </c>
      <c r="M7" s="156">
        <v>45616.0</v>
      </c>
      <c r="N7" s="292">
        <v>500.0</v>
      </c>
      <c r="O7" s="44"/>
    </row>
    <row r="8">
      <c r="B8" s="293" t="s">
        <v>133</v>
      </c>
      <c r="C8" s="160">
        <v>45607.0</v>
      </c>
      <c r="D8" s="294">
        <v>45607.0</v>
      </c>
      <c r="E8" s="295">
        <v>500.0</v>
      </c>
      <c r="F8" s="289"/>
      <c r="G8" s="296"/>
      <c r="H8" s="297"/>
      <c r="L8" s="44" t="s">
        <v>273</v>
      </c>
      <c r="M8" s="156">
        <v>45622.0</v>
      </c>
      <c r="N8" s="292">
        <v>2000.0</v>
      </c>
      <c r="O8" s="44"/>
    </row>
    <row r="9">
      <c r="B9" s="293" t="s">
        <v>26</v>
      </c>
      <c r="C9" s="160">
        <v>45609.0</v>
      </c>
      <c r="D9" s="294">
        <v>45609.0</v>
      </c>
      <c r="E9" s="295">
        <v>500.0</v>
      </c>
      <c r="F9" s="289"/>
      <c r="G9" s="296"/>
      <c r="H9" s="297"/>
      <c r="L9" s="298" t="s">
        <v>274</v>
      </c>
      <c r="M9" s="299">
        <v>45623.0</v>
      </c>
      <c r="N9" s="295">
        <v>2000.0</v>
      </c>
      <c r="O9" s="298" t="s">
        <v>275</v>
      </c>
    </row>
    <row r="10">
      <c r="B10" s="293" t="s">
        <v>61</v>
      </c>
      <c r="C10" s="160">
        <v>45610.0</v>
      </c>
      <c r="D10" s="294">
        <v>45610.0</v>
      </c>
      <c r="E10" s="295">
        <v>500.0</v>
      </c>
      <c r="F10" s="289"/>
      <c r="G10" s="296"/>
      <c r="H10" s="297"/>
      <c r="L10" s="44" t="s">
        <v>276</v>
      </c>
      <c r="M10" s="156">
        <v>45639.0</v>
      </c>
      <c r="N10" s="292">
        <v>2500.0</v>
      </c>
      <c r="O10" s="44"/>
    </row>
    <row r="11">
      <c r="B11" s="293" t="s">
        <v>271</v>
      </c>
      <c r="C11" s="160">
        <v>45611.0</v>
      </c>
      <c r="D11" s="294">
        <v>45611.0</v>
      </c>
      <c r="E11" s="295">
        <v>500.0</v>
      </c>
      <c r="F11" s="289"/>
      <c r="G11" s="296"/>
      <c r="H11" s="297"/>
      <c r="L11" s="44" t="s">
        <v>277</v>
      </c>
      <c r="M11" s="156">
        <v>45642.0</v>
      </c>
      <c r="N11" s="292">
        <v>192.0</v>
      </c>
      <c r="O11" s="44"/>
    </row>
    <row r="12">
      <c r="B12" s="293" t="s">
        <v>133</v>
      </c>
      <c r="C12" s="160">
        <v>45614.0</v>
      </c>
      <c r="D12" s="294">
        <v>45614.0</v>
      </c>
      <c r="E12" s="295">
        <v>500.0</v>
      </c>
      <c r="F12" s="289"/>
      <c r="G12" s="296"/>
      <c r="H12" s="297"/>
      <c r="L12" s="44" t="s">
        <v>278</v>
      </c>
      <c r="M12" s="156">
        <v>45644.0</v>
      </c>
      <c r="N12" s="292">
        <v>1500.0</v>
      </c>
      <c r="O12" s="44"/>
    </row>
    <row r="13">
      <c r="B13" s="293" t="s">
        <v>36</v>
      </c>
      <c r="C13" s="160">
        <v>45616.0</v>
      </c>
      <c r="D13" s="294">
        <v>45616.0</v>
      </c>
      <c r="E13" s="295">
        <v>3000.0</v>
      </c>
      <c r="F13" s="289"/>
      <c r="G13" s="296"/>
      <c r="H13" s="297"/>
      <c r="L13" s="300" t="s">
        <v>279</v>
      </c>
      <c r="M13" s="301">
        <v>45646.0</v>
      </c>
      <c r="N13" s="302">
        <v>2000.0</v>
      </c>
      <c r="O13" s="300" t="s">
        <v>280</v>
      </c>
    </row>
    <row r="14">
      <c r="B14" s="293" t="s">
        <v>26</v>
      </c>
      <c r="C14" s="160">
        <v>45616.0</v>
      </c>
      <c r="D14" s="294">
        <v>45616.0</v>
      </c>
      <c r="E14" s="295">
        <v>500.0</v>
      </c>
      <c r="F14" s="289"/>
      <c r="G14" s="296"/>
      <c r="H14" s="297"/>
      <c r="L14" s="44" t="s">
        <v>281</v>
      </c>
      <c r="M14" s="156">
        <v>45650.0</v>
      </c>
      <c r="N14" s="292">
        <v>187.0</v>
      </c>
      <c r="O14" s="44"/>
    </row>
    <row r="15">
      <c r="B15" s="293" t="s">
        <v>36</v>
      </c>
      <c r="C15" s="160">
        <v>45616.0</v>
      </c>
      <c r="D15" s="294">
        <v>45616.0</v>
      </c>
      <c r="E15" s="295">
        <v>500.0</v>
      </c>
      <c r="F15" s="289"/>
      <c r="G15" s="296"/>
      <c r="H15" s="297"/>
      <c r="L15" s="44" t="s">
        <v>282</v>
      </c>
      <c r="M15" s="156">
        <v>45668.0</v>
      </c>
      <c r="N15" s="292">
        <v>2500.0</v>
      </c>
      <c r="O15" s="44"/>
    </row>
    <row r="16">
      <c r="B16" s="293" t="s">
        <v>61</v>
      </c>
      <c r="C16" s="160">
        <v>45616.0</v>
      </c>
      <c r="D16" s="294">
        <v>45616.0</v>
      </c>
      <c r="E16" s="295">
        <v>350.0</v>
      </c>
      <c r="F16" s="289"/>
      <c r="G16" s="296"/>
      <c r="H16" s="297"/>
      <c r="L16" s="44" t="s">
        <v>282</v>
      </c>
      <c r="M16" s="156">
        <v>45669.0</v>
      </c>
      <c r="N16" s="292">
        <v>500.0</v>
      </c>
      <c r="O16" s="44"/>
    </row>
    <row r="17">
      <c r="B17" s="293" t="s">
        <v>133</v>
      </c>
      <c r="C17" s="160">
        <v>45621.0</v>
      </c>
      <c r="D17" s="294">
        <v>45621.0</v>
      </c>
      <c r="E17" s="295">
        <v>500.0</v>
      </c>
      <c r="F17" s="289"/>
      <c r="G17" s="296"/>
      <c r="H17" s="297"/>
      <c r="L17" s="44" t="s">
        <v>282</v>
      </c>
      <c r="M17" s="156">
        <v>45670.0</v>
      </c>
      <c r="N17" s="292">
        <v>500.0</v>
      </c>
      <c r="O17" s="44"/>
    </row>
    <row r="18">
      <c r="B18" s="293" t="s">
        <v>26</v>
      </c>
      <c r="C18" s="160">
        <v>45623.0</v>
      </c>
      <c r="D18" s="294">
        <v>45623.0</v>
      </c>
      <c r="E18" s="295">
        <v>500.0</v>
      </c>
      <c r="F18" s="289"/>
      <c r="G18" s="296"/>
      <c r="H18" s="297"/>
      <c r="L18" s="44" t="s">
        <v>282</v>
      </c>
      <c r="M18" s="156">
        <v>45670.0</v>
      </c>
      <c r="N18" s="292">
        <v>500.0</v>
      </c>
      <c r="O18" s="44"/>
    </row>
    <row r="19">
      <c r="B19" s="293" t="s">
        <v>61</v>
      </c>
      <c r="C19" s="160">
        <v>45624.0</v>
      </c>
      <c r="D19" s="294">
        <v>45624.0</v>
      </c>
      <c r="E19" s="295">
        <v>500.0</v>
      </c>
      <c r="F19" s="289"/>
      <c r="G19" s="296"/>
      <c r="H19" s="297"/>
      <c r="L19" s="44" t="s">
        <v>282</v>
      </c>
      <c r="M19" s="156">
        <v>45672.0</v>
      </c>
      <c r="N19" s="292">
        <v>200.0</v>
      </c>
      <c r="O19" s="44"/>
    </row>
    <row r="20">
      <c r="B20" s="293" t="s">
        <v>61</v>
      </c>
      <c r="C20" s="160">
        <v>45598.0</v>
      </c>
      <c r="D20" s="294">
        <v>45628.0</v>
      </c>
      <c r="E20" s="295">
        <v>500.0</v>
      </c>
      <c r="F20" s="289"/>
      <c r="G20" s="296"/>
      <c r="H20" s="297"/>
      <c r="L20" s="44" t="s">
        <v>282</v>
      </c>
      <c r="M20" s="156">
        <v>45673.0</v>
      </c>
      <c r="N20" s="292">
        <v>850.0</v>
      </c>
      <c r="O20" s="297"/>
    </row>
    <row r="21" ht="15.75" customHeight="1">
      <c r="B21" s="293" t="s">
        <v>26</v>
      </c>
      <c r="C21" s="160">
        <v>45630.0</v>
      </c>
      <c r="D21" s="294">
        <v>45630.0</v>
      </c>
      <c r="E21" s="295">
        <v>500.0</v>
      </c>
      <c r="F21" s="289"/>
      <c r="G21" s="296"/>
      <c r="H21" s="297"/>
      <c r="L21" s="303" t="s">
        <v>302</v>
      </c>
      <c r="M21" s="304">
        <v>45676.0</v>
      </c>
      <c r="N21" s="305">
        <v>950.0</v>
      </c>
      <c r="O21" s="306"/>
    </row>
    <row r="22" ht="15.75" customHeight="1">
      <c r="B22" s="293" t="s">
        <v>61</v>
      </c>
      <c r="C22" s="160">
        <v>45630.0</v>
      </c>
      <c r="D22" s="294">
        <v>45630.0</v>
      </c>
      <c r="E22" s="295">
        <v>500.0</v>
      </c>
      <c r="F22" s="289"/>
      <c r="G22" s="296"/>
      <c r="H22" s="297"/>
      <c r="L22" s="44" t="s">
        <v>284</v>
      </c>
      <c r="M22" s="156">
        <v>45677.0</v>
      </c>
      <c r="N22" s="292">
        <v>150.0</v>
      </c>
      <c r="O22" s="297"/>
    </row>
    <row r="23" ht="15.75" customHeight="1">
      <c r="B23" s="293" t="s">
        <v>61</v>
      </c>
      <c r="C23" s="156">
        <v>45632.0</v>
      </c>
      <c r="D23" s="294">
        <v>45632.0</v>
      </c>
      <c r="E23" s="295">
        <v>380.0</v>
      </c>
      <c r="F23" s="289"/>
      <c r="G23" s="296"/>
      <c r="H23" s="297" t="s">
        <v>285</v>
      </c>
      <c r="L23" s="307" t="s">
        <v>303</v>
      </c>
      <c r="M23" s="308">
        <v>45684.0</v>
      </c>
      <c r="N23" s="309">
        <v>160.0</v>
      </c>
      <c r="O23" s="297"/>
    </row>
    <row r="24" ht="15.75" customHeight="1">
      <c r="B24" s="293" t="s">
        <v>26</v>
      </c>
      <c r="C24" s="160">
        <v>45637.0</v>
      </c>
      <c r="D24" s="294">
        <v>45637.0</v>
      </c>
      <c r="E24" s="295">
        <v>500.0</v>
      </c>
      <c r="F24" s="289"/>
      <c r="G24" s="296"/>
      <c r="H24" s="297"/>
      <c r="L24" s="307" t="s">
        <v>304</v>
      </c>
      <c r="M24" s="308">
        <v>45684.0</v>
      </c>
      <c r="N24" s="309">
        <v>1000.0</v>
      </c>
      <c r="O24" s="297"/>
    </row>
    <row r="25" ht="15.75" customHeight="1">
      <c r="B25" s="293" t="s">
        <v>61</v>
      </c>
      <c r="C25" s="160">
        <v>45642.0</v>
      </c>
      <c r="D25" s="294">
        <v>45642.0</v>
      </c>
      <c r="E25" s="295">
        <v>500.0</v>
      </c>
      <c r="F25" s="310"/>
      <c r="G25" s="296"/>
      <c r="H25" s="297"/>
      <c r="L25" s="307" t="s">
        <v>305</v>
      </c>
      <c r="M25" s="308">
        <v>45687.0</v>
      </c>
      <c r="N25" s="309">
        <v>190.0</v>
      </c>
      <c r="O25" s="297"/>
    </row>
    <row r="26" ht="15.75" customHeight="1">
      <c r="B26" s="293" t="s">
        <v>26</v>
      </c>
      <c r="C26" s="160">
        <v>45644.0</v>
      </c>
      <c r="D26" s="294">
        <v>45644.0</v>
      </c>
      <c r="E26" s="295">
        <v>500.0</v>
      </c>
      <c r="F26" s="310"/>
      <c r="G26" s="296"/>
      <c r="H26" s="297"/>
      <c r="L26" s="307" t="s">
        <v>306</v>
      </c>
      <c r="M26" s="308">
        <v>45691.0</v>
      </c>
      <c r="N26" s="309">
        <v>995.0</v>
      </c>
      <c r="O26" s="297"/>
    </row>
    <row r="27" ht="15.75" customHeight="1">
      <c r="B27" s="293" t="s">
        <v>61</v>
      </c>
      <c r="C27" s="160">
        <v>45644.0</v>
      </c>
      <c r="D27" s="294">
        <v>45644.0</v>
      </c>
      <c r="E27" s="295">
        <v>500.0</v>
      </c>
      <c r="F27" s="310"/>
      <c r="G27" s="296"/>
      <c r="H27" s="297"/>
      <c r="L27" s="44" t="s">
        <v>286</v>
      </c>
      <c r="M27" s="156">
        <v>45696.0</v>
      </c>
      <c r="N27" s="305">
        <v>1000.0</v>
      </c>
      <c r="O27" s="297"/>
    </row>
    <row r="28" ht="15.75" customHeight="1">
      <c r="B28" s="293" t="s">
        <v>61</v>
      </c>
      <c r="C28" s="160">
        <v>45310.0</v>
      </c>
      <c r="D28" s="294">
        <v>45645.0</v>
      </c>
      <c r="E28" s="295">
        <v>375.0</v>
      </c>
      <c r="F28" s="310"/>
      <c r="G28" s="296"/>
      <c r="H28" s="297" t="s">
        <v>285</v>
      </c>
      <c r="L28" s="307" t="s">
        <v>307</v>
      </c>
      <c r="M28" s="308">
        <v>45698.0</v>
      </c>
      <c r="N28" s="309">
        <v>600.0</v>
      </c>
      <c r="O28" s="297"/>
    </row>
    <row r="29" ht="15.75" customHeight="1">
      <c r="B29" s="293" t="s">
        <v>61</v>
      </c>
      <c r="C29" s="160">
        <v>45649.0</v>
      </c>
      <c r="D29" s="294">
        <v>45649.0</v>
      </c>
      <c r="E29" s="295">
        <v>500.0</v>
      </c>
      <c r="F29" s="310"/>
      <c r="G29" s="296"/>
      <c r="H29" s="297"/>
      <c r="L29" s="44" t="s">
        <v>287</v>
      </c>
      <c r="M29" s="156">
        <v>45699.0</v>
      </c>
      <c r="N29" s="305">
        <v>3000.0</v>
      </c>
      <c r="O29" s="297"/>
    </row>
    <row r="30" ht="15.75" customHeight="1">
      <c r="B30" s="293" t="s">
        <v>26</v>
      </c>
      <c r="C30" s="160">
        <v>45651.0</v>
      </c>
      <c r="D30" s="294">
        <v>45651.0</v>
      </c>
      <c r="E30" s="295">
        <v>500.0</v>
      </c>
      <c r="F30" s="310"/>
      <c r="G30" s="296"/>
      <c r="H30" s="297"/>
      <c r="L30" s="307" t="s">
        <v>308</v>
      </c>
      <c r="M30" s="308">
        <v>45699.0</v>
      </c>
      <c r="N30" s="309">
        <v>400.0</v>
      </c>
      <c r="O30" s="297"/>
    </row>
    <row r="31" ht="15.75" customHeight="1">
      <c r="B31" s="293" t="s">
        <v>61</v>
      </c>
      <c r="C31" s="160">
        <v>45652.0</v>
      </c>
      <c r="D31" s="294">
        <v>45652.0</v>
      </c>
      <c r="E31" s="295">
        <v>500.0</v>
      </c>
      <c r="F31" s="310"/>
      <c r="G31" s="296"/>
      <c r="H31" s="297"/>
      <c r="L31" s="44" t="s">
        <v>288</v>
      </c>
      <c r="M31" s="156">
        <v>45699.0</v>
      </c>
      <c r="N31" s="305">
        <v>25.0</v>
      </c>
      <c r="O31" s="297"/>
    </row>
    <row r="32" ht="15.75" customHeight="1">
      <c r="B32" s="293" t="s">
        <v>293</v>
      </c>
      <c r="C32" s="160">
        <v>45656.0</v>
      </c>
      <c r="D32" s="294">
        <v>45656.0</v>
      </c>
      <c r="E32" s="295">
        <v>150.0</v>
      </c>
      <c r="F32" s="310"/>
      <c r="G32" s="296"/>
      <c r="H32" s="297" t="s">
        <v>294</v>
      </c>
      <c r="L32" s="307" t="s">
        <v>309</v>
      </c>
      <c r="M32" s="308">
        <v>45699.0</v>
      </c>
      <c r="N32" s="309">
        <v>60.0</v>
      </c>
      <c r="O32" s="297"/>
    </row>
    <row r="33" ht="15.75" customHeight="1">
      <c r="B33" s="293" t="s">
        <v>61</v>
      </c>
      <c r="C33" s="160">
        <v>45656.0</v>
      </c>
      <c r="D33" s="294">
        <v>45656.0</v>
      </c>
      <c r="E33" s="295">
        <v>500.0</v>
      </c>
      <c r="F33" s="310"/>
      <c r="G33" s="296"/>
      <c r="H33" s="297"/>
      <c r="L33" s="44" t="s">
        <v>310</v>
      </c>
      <c r="M33" s="156">
        <v>45701.0</v>
      </c>
      <c r="N33" s="311">
        <v>325.0</v>
      </c>
      <c r="O33" s="297"/>
    </row>
    <row r="34" ht="15.75" customHeight="1">
      <c r="B34" s="293" t="s">
        <v>61</v>
      </c>
      <c r="C34" s="160">
        <v>45658.0</v>
      </c>
      <c r="D34" s="294">
        <v>45658.0</v>
      </c>
      <c r="E34" s="295">
        <v>375.0</v>
      </c>
      <c r="F34" s="310"/>
      <c r="G34" s="296"/>
      <c r="H34" s="297"/>
      <c r="L34" s="44" t="s">
        <v>311</v>
      </c>
      <c r="M34" s="156">
        <v>45702.0</v>
      </c>
      <c r="N34" s="309">
        <v>275.0</v>
      </c>
      <c r="O34" s="297"/>
    </row>
    <row r="35" ht="15.75" customHeight="1">
      <c r="B35" s="293" t="s">
        <v>295</v>
      </c>
      <c r="C35" s="160">
        <v>45659.0</v>
      </c>
      <c r="D35" s="294">
        <v>45659.0</v>
      </c>
      <c r="E35" s="295">
        <v>150.0</v>
      </c>
      <c r="F35" s="310"/>
      <c r="G35" s="296"/>
      <c r="H35" s="297"/>
      <c r="L35" s="312" t="s">
        <v>289</v>
      </c>
      <c r="M35" s="156">
        <v>45702.0</v>
      </c>
      <c r="N35" s="305">
        <v>500.0</v>
      </c>
      <c r="O35" s="297"/>
    </row>
    <row r="36" ht="15.75" customHeight="1">
      <c r="B36" s="293" t="s">
        <v>32</v>
      </c>
      <c r="C36" s="160">
        <v>45659.0</v>
      </c>
      <c r="D36" s="294">
        <v>45659.0</v>
      </c>
      <c r="E36" s="295">
        <v>325.0</v>
      </c>
      <c r="F36" s="310"/>
      <c r="G36" s="296"/>
      <c r="H36" s="297"/>
      <c r="L36" s="44" t="s">
        <v>290</v>
      </c>
      <c r="M36" s="156">
        <v>45707.0</v>
      </c>
      <c r="N36" s="305">
        <v>475.0</v>
      </c>
      <c r="O36" s="297"/>
    </row>
    <row r="37" ht="15.75" customHeight="1">
      <c r="B37" s="293" t="s">
        <v>296</v>
      </c>
      <c r="C37" s="160">
        <v>45660.0</v>
      </c>
      <c r="D37" s="294">
        <v>45660.0</v>
      </c>
      <c r="E37" s="295">
        <v>360.0</v>
      </c>
      <c r="F37" s="310"/>
      <c r="G37" s="296"/>
      <c r="H37" s="297"/>
      <c r="L37" s="44" t="s">
        <v>291</v>
      </c>
      <c r="M37" s="156">
        <v>45709.0</v>
      </c>
      <c r="N37" s="305">
        <v>1000.0</v>
      </c>
      <c r="O37" s="297"/>
    </row>
    <row r="38" ht="15.75" customHeight="1">
      <c r="B38" s="293" t="s">
        <v>26</v>
      </c>
      <c r="C38" s="160">
        <v>45665.0</v>
      </c>
      <c r="D38" s="294">
        <v>45665.0</v>
      </c>
      <c r="E38" s="295">
        <v>500.0</v>
      </c>
      <c r="F38" s="310"/>
      <c r="G38" s="296"/>
      <c r="H38" s="297"/>
      <c r="L38" s="44" t="s">
        <v>312</v>
      </c>
      <c r="M38" s="156">
        <v>45709.0</v>
      </c>
      <c r="N38" s="309">
        <v>926.0</v>
      </c>
      <c r="O38" s="297"/>
    </row>
    <row r="39" ht="15.75" customHeight="1">
      <c r="B39" s="293" t="s">
        <v>61</v>
      </c>
      <c r="C39" s="160">
        <v>45665.0</v>
      </c>
      <c r="D39" s="294">
        <v>45665.0</v>
      </c>
      <c r="E39" s="295">
        <v>375.0</v>
      </c>
      <c r="F39" s="310"/>
      <c r="G39" s="296"/>
      <c r="H39" s="297"/>
      <c r="L39" s="44" t="s">
        <v>313</v>
      </c>
      <c r="M39" s="156">
        <v>45712.0</v>
      </c>
      <c r="N39" s="309">
        <v>233.0</v>
      </c>
      <c r="O39" s="297"/>
    </row>
    <row r="40" ht="15.75" customHeight="1">
      <c r="B40" s="293" t="s">
        <v>32</v>
      </c>
      <c r="C40" s="160">
        <v>45666.0</v>
      </c>
      <c r="D40" s="294">
        <v>45666.0</v>
      </c>
      <c r="E40" s="295">
        <v>320.0</v>
      </c>
      <c r="F40" s="310"/>
      <c r="G40" s="296"/>
      <c r="H40" s="297"/>
      <c r="L40" s="44" t="s">
        <v>314</v>
      </c>
      <c r="M40" s="156">
        <v>45712.0</v>
      </c>
      <c r="N40" s="311">
        <v>100.0</v>
      </c>
      <c r="O40" s="297"/>
    </row>
    <row r="41" ht="15.75" customHeight="1">
      <c r="B41" s="293" t="s">
        <v>298</v>
      </c>
      <c r="C41" s="156">
        <v>45667.0</v>
      </c>
      <c r="D41" s="294">
        <v>45667.0</v>
      </c>
      <c r="E41" s="295">
        <v>500.0</v>
      </c>
      <c r="F41" s="310"/>
      <c r="G41" s="296"/>
      <c r="H41" s="297"/>
      <c r="L41" s="44" t="s">
        <v>315</v>
      </c>
      <c r="M41" s="156">
        <v>45713.0</v>
      </c>
      <c r="N41" s="311">
        <v>179.0</v>
      </c>
      <c r="O41" s="297"/>
    </row>
    <row r="42" ht="15.75" customHeight="1">
      <c r="B42" s="293" t="s">
        <v>32</v>
      </c>
      <c r="C42" s="156">
        <v>45670.0</v>
      </c>
      <c r="D42" s="294">
        <v>45670.0</v>
      </c>
      <c r="E42" s="295">
        <v>320.0</v>
      </c>
      <c r="F42" s="310"/>
      <c r="G42" s="296"/>
      <c r="H42" s="297"/>
      <c r="L42" s="44" t="s">
        <v>316</v>
      </c>
      <c r="M42" s="156">
        <v>45714.0</v>
      </c>
      <c r="N42" s="311">
        <v>650.0</v>
      </c>
      <c r="O42" s="297"/>
    </row>
    <row r="43" ht="15.75" customHeight="1">
      <c r="B43" s="293" t="s">
        <v>298</v>
      </c>
      <c r="C43" s="156">
        <v>45672.0</v>
      </c>
      <c r="D43" s="294">
        <v>45672.0</v>
      </c>
      <c r="E43" s="295">
        <v>375.0</v>
      </c>
      <c r="F43" s="310"/>
      <c r="G43" s="296"/>
      <c r="H43" s="297"/>
      <c r="L43" s="313" t="s">
        <v>292</v>
      </c>
      <c r="M43" s="156">
        <v>45719.0</v>
      </c>
      <c r="N43" s="292">
        <v>600.0</v>
      </c>
      <c r="O43" s="297"/>
    </row>
    <row r="44" ht="15.75" customHeight="1">
      <c r="B44" s="293" t="s">
        <v>26</v>
      </c>
      <c r="C44" s="156">
        <v>45672.0</v>
      </c>
      <c r="D44" s="294">
        <v>45672.0</v>
      </c>
      <c r="E44" s="295">
        <v>500.0</v>
      </c>
      <c r="F44" s="310"/>
      <c r="G44" s="296"/>
      <c r="H44" s="297"/>
      <c r="L44" s="44" t="s">
        <v>317</v>
      </c>
      <c r="M44" s="156">
        <v>45719.0</v>
      </c>
      <c r="N44" s="309">
        <v>966.0</v>
      </c>
      <c r="O44" s="297"/>
    </row>
    <row r="45" ht="15.75" customHeight="1">
      <c r="B45" s="293" t="s">
        <v>61</v>
      </c>
      <c r="C45" s="156">
        <v>45672.0</v>
      </c>
      <c r="D45" s="294">
        <v>45672.0</v>
      </c>
      <c r="E45" s="295">
        <v>500.0</v>
      </c>
      <c r="F45" s="310"/>
      <c r="G45" s="296"/>
      <c r="H45" s="297"/>
      <c r="L45" s="313" t="s">
        <v>292</v>
      </c>
      <c r="M45" s="156">
        <v>45721.0</v>
      </c>
      <c r="N45" s="292">
        <v>200.0</v>
      </c>
      <c r="O45" s="297"/>
      <c r="P45" s="5">
        <f>SUM(N34,N38,N39,N44,N46)</f>
        <v>2949</v>
      </c>
    </row>
    <row r="46" ht="15.75" customHeight="1">
      <c r="B46" s="293" t="s">
        <v>32</v>
      </c>
      <c r="C46" s="156">
        <v>45673.0</v>
      </c>
      <c r="D46" s="294">
        <v>45673.0</v>
      </c>
      <c r="E46" s="295">
        <v>500.0</v>
      </c>
      <c r="F46" s="310"/>
      <c r="G46" s="296"/>
      <c r="H46" s="297"/>
      <c r="L46" s="314" t="s">
        <v>318</v>
      </c>
      <c r="M46" s="156">
        <v>45722.0</v>
      </c>
      <c r="N46" s="309">
        <v>549.0</v>
      </c>
      <c r="O46" s="297"/>
    </row>
    <row r="47" ht="15.75" customHeight="1">
      <c r="B47" s="293" t="s">
        <v>36</v>
      </c>
      <c r="C47" s="156">
        <v>45674.0</v>
      </c>
      <c r="D47" s="294">
        <v>45674.0</v>
      </c>
      <c r="E47" s="295">
        <v>200.0</v>
      </c>
      <c r="F47" s="310"/>
      <c r="G47" s="296"/>
      <c r="H47" s="297"/>
      <c r="L47" s="315" t="s">
        <v>292</v>
      </c>
      <c r="M47" s="156">
        <v>45722.0</v>
      </c>
      <c r="N47" s="292">
        <v>500.0</v>
      </c>
      <c r="O47" s="297"/>
    </row>
    <row r="48" ht="15.75" customHeight="1">
      <c r="B48" s="293" t="s">
        <v>298</v>
      </c>
      <c r="C48" s="156">
        <v>45674.0</v>
      </c>
      <c r="D48" s="294">
        <v>45674.0</v>
      </c>
      <c r="E48" s="295">
        <v>350.0</v>
      </c>
      <c r="F48" s="310"/>
      <c r="G48" s="296"/>
      <c r="H48" s="297"/>
      <c r="L48" s="313" t="s">
        <v>292</v>
      </c>
      <c r="M48" s="156">
        <v>45726.0</v>
      </c>
      <c r="N48" s="292">
        <v>1000.0</v>
      </c>
      <c r="O48" s="297"/>
    </row>
    <row r="49" ht="15.75" customHeight="1">
      <c r="B49" s="293" t="s">
        <v>61</v>
      </c>
      <c r="C49" s="156">
        <v>45674.0</v>
      </c>
      <c r="D49" s="294">
        <v>45674.0</v>
      </c>
      <c r="E49" s="295">
        <v>370.0</v>
      </c>
      <c r="F49" s="310"/>
      <c r="G49" s="296"/>
      <c r="H49" s="297"/>
      <c r="L49" s="313" t="s">
        <v>292</v>
      </c>
      <c r="M49" s="156">
        <v>45727.0</v>
      </c>
      <c r="N49" s="292">
        <v>50.0</v>
      </c>
      <c r="O49" s="297"/>
    </row>
    <row r="50" ht="15.75" customHeight="1">
      <c r="B50" s="293" t="s">
        <v>32</v>
      </c>
      <c r="C50" s="156">
        <v>45677.0</v>
      </c>
      <c r="D50" s="294">
        <v>45677.0</v>
      </c>
      <c r="E50" s="295">
        <v>490.0</v>
      </c>
      <c r="F50" s="310"/>
      <c r="G50" s="296"/>
      <c r="H50" s="297"/>
      <c r="L50" s="313" t="s">
        <v>292</v>
      </c>
      <c r="M50" s="156">
        <v>45728.0</v>
      </c>
      <c r="N50" s="292">
        <v>500.0</v>
      </c>
      <c r="O50" s="297"/>
    </row>
    <row r="51" ht="15.75" customHeight="1">
      <c r="B51" s="293" t="s">
        <v>26</v>
      </c>
      <c r="C51" s="156">
        <v>45679.0</v>
      </c>
      <c r="D51" s="294">
        <v>45679.0</v>
      </c>
      <c r="E51" s="295">
        <v>500.0</v>
      </c>
      <c r="F51" s="310"/>
      <c r="G51" s="296"/>
      <c r="H51" s="297"/>
      <c r="L51" s="44" t="s">
        <v>319</v>
      </c>
      <c r="M51" s="156">
        <v>45730.0</v>
      </c>
      <c r="N51" s="311">
        <v>985.0</v>
      </c>
      <c r="O51" s="297"/>
    </row>
    <row r="52" ht="15.75" customHeight="1">
      <c r="B52" s="293" t="s">
        <v>32</v>
      </c>
      <c r="C52" s="156">
        <v>45680.0</v>
      </c>
      <c r="D52" s="294">
        <v>45680.0</v>
      </c>
      <c r="E52" s="295">
        <v>330.0</v>
      </c>
      <c r="F52" s="310"/>
      <c r="G52" s="296"/>
      <c r="H52" s="297"/>
      <c r="L52" s="313" t="s">
        <v>292</v>
      </c>
      <c r="M52" s="156">
        <v>45730.0</v>
      </c>
      <c r="N52" s="292">
        <v>1000.0</v>
      </c>
      <c r="O52" s="297"/>
    </row>
    <row r="53" ht="15.75" customHeight="1">
      <c r="B53" s="293" t="s">
        <v>32</v>
      </c>
      <c r="C53" s="156">
        <v>45682.0</v>
      </c>
      <c r="D53" s="294">
        <v>45682.0</v>
      </c>
      <c r="E53" s="295">
        <v>500.0</v>
      </c>
      <c r="F53" s="310"/>
      <c r="G53" s="296"/>
      <c r="H53" s="297"/>
      <c r="L53" s="313" t="s">
        <v>292</v>
      </c>
      <c r="M53" s="156">
        <v>45733.0</v>
      </c>
      <c r="N53" s="292">
        <v>1000.0</v>
      </c>
      <c r="O53" s="297"/>
    </row>
    <row r="54" ht="15.75" customHeight="1">
      <c r="B54" s="293" t="s">
        <v>32</v>
      </c>
      <c r="C54" s="156">
        <v>45684.0</v>
      </c>
      <c r="D54" s="294">
        <v>45684.0</v>
      </c>
      <c r="E54" s="295">
        <v>490.0</v>
      </c>
      <c r="F54" s="310"/>
      <c r="G54" s="296"/>
      <c r="H54" s="297"/>
      <c r="L54" s="313" t="s">
        <v>292</v>
      </c>
      <c r="M54" s="156">
        <v>45736.0</v>
      </c>
      <c r="N54" s="292">
        <v>100.0</v>
      </c>
      <c r="O54" s="297"/>
    </row>
    <row r="55" ht="15.75" customHeight="1">
      <c r="B55" s="293" t="s">
        <v>26</v>
      </c>
      <c r="C55" s="156">
        <v>45686.0</v>
      </c>
      <c r="D55" s="294">
        <v>45686.0</v>
      </c>
      <c r="E55" s="295">
        <v>500.0</v>
      </c>
      <c r="F55" s="310"/>
      <c r="G55" s="296"/>
      <c r="H55" s="297"/>
      <c r="L55" s="313" t="s">
        <v>297</v>
      </c>
      <c r="M55" s="156">
        <v>45738.0</v>
      </c>
      <c r="N55" s="292">
        <v>1050.0</v>
      </c>
      <c r="O55" s="297"/>
    </row>
    <row r="56" ht="15.75" customHeight="1">
      <c r="B56" s="293" t="s">
        <v>61</v>
      </c>
      <c r="C56" s="156">
        <v>45686.0</v>
      </c>
      <c r="D56" s="294">
        <v>45686.0</v>
      </c>
      <c r="E56" s="295">
        <v>500.0</v>
      </c>
      <c r="F56" s="310"/>
      <c r="G56" s="296"/>
      <c r="H56" s="297"/>
      <c r="L56" s="44" t="s">
        <v>320</v>
      </c>
      <c r="M56" s="156">
        <v>45732.0</v>
      </c>
      <c r="N56" s="316">
        <v>600.0</v>
      </c>
      <c r="O56" s="297"/>
    </row>
    <row r="57" ht="15.75" customHeight="1">
      <c r="B57" s="293" t="s">
        <v>299</v>
      </c>
      <c r="C57" s="156">
        <v>45687.0</v>
      </c>
      <c r="D57" s="294">
        <v>45687.0</v>
      </c>
      <c r="E57" s="295">
        <v>200.0</v>
      </c>
      <c r="F57" s="310"/>
      <c r="G57" s="296"/>
      <c r="H57" s="297"/>
      <c r="L57" s="44" t="s">
        <v>321</v>
      </c>
      <c r="M57" s="156">
        <v>45733.0</v>
      </c>
      <c r="N57" s="311">
        <v>500.0</v>
      </c>
      <c r="O57" s="297"/>
    </row>
    <row r="58" ht="15.75" customHeight="1">
      <c r="B58" s="293" t="s">
        <v>32</v>
      </c>
      <c r="C58" s="156">
        <v>45687.0</v>
      </c>
      <c r="D58" s="294">
        <v>45687.0</v>
      </c>
      <c r="E58" s="295">
        <v>505.0</v>
      </c>
      <c r="F58" s="310"/>
      <c r="G58" s="296"/>
      <c r="H58" s="297"/>
      <c r="L58" s="44" t="s">
        <v>322</v>
      </c>
      <c r="M58" s="156">
        <v>45733.0</v>
      </c>
      <c r="N58" s="311">
        <v>156.0</v>
      </c>
      <c r="O58" s="297"/>
    </row>
    <row r="59" ht="15.75" customHeight="1">
      <c r="B59" s="293" t="s">
        <v>61</v>
      </c>
      <c r="C59" s="156">
        <v>45689.0</v>
      </c>
      <c r="D59" s="294">
        <v>45689.0</v>
      </c>
      <c r="E59" s="295">
        <v>500.0</v>
      </c>
      <c r="F59" s="310"/>
      <c r="G59" s="296"/>
      <c r="H59" s="297"/>
      <c r="L59" s="44" t="s">
        <v>323</v>
      </c>
      <c r="M59" s="156">
        <v>45736.0</v>
      </c>
      <c r="N59" s="311">
        <v>450.0</v>
      </c>
      <c r="O59" s="297"/>
    </row>
    <row r="60" ht="15.75" customHeight="1">
      <c r="B60" s="293" t="s">
        <v>61</v>
      </c>
      <c r="C60" s="156">
        <v>45691.0</v>
      </c>
      <c r="D60" s="294">
        <v>45691.0</v>
      </c>
      <c r="E60" s="295">
        <v>370.0</v>
      </c>
      <c r="F60" s="310"/>
      <c r="G60" s="296"/>
      <c r="H60" s="297"/>
      <c r="L60" s="44" t="s">
        <v>324</v>
      </c>
      <c r="M60" s="156">
        <v>45737.0</v>
      </c>
      <c r="N60" s="311">
        <v>1254.0</v>
      </c>
      <c r="O60" s="297"/>
    </row>
    <row r="61" ht="15.75" customHeight="1">
      <c r="B61" s="293" t="s">
        <v>26</v>
      </c>
      <c r="C61" s="156">
        <v>45693.0</v>
      </c>
      <c r="D61" s="294">
        <v>45693.0</v>
      </c>
      <c r="E61" s="295">
        <v>250.0</v>
      </c>
      <c r="F61" s="310"/>
      <c r="G61" s="296"/>
      <c r="H61" s="297"/>
      <c r="L61" s="44"/>
      <c r="M61" s="156"/>
      <c r="N61" s="292"/>
      <c r="O61" s="297"/>
    </row>
    <row r="62" ht="15.75" customHeight="1">
      <c r="B62" s="293" t="s">
        <v>26</v>
      </c>
      <c r="C62" s="156">
        <v>45700.0</v>
      </c>
      <c r="D62" s="294">
        <v>45700.0</v>
      </c>
      <c r="E62" s="295">
        <v>500.0</v>
      </c>
      <c r="F62" s="310"/>
      <c r="G62" s="296"/>
      <c r="H62" s="297"/>
      <c r="L62" s="44"/>
      <c r="M62" s="156"/>
      <c r="N62" s="292"/>
      <c r="O62" s="297"/>
    </row>
    <row r="63" ht="15.75" customHeight="1">
      <c r="B63" s="293" t="s">
        <v>32</v>
      </c>
      <c r="C63" s="156">
        <v>45701.0</v>
      </c>
      <c r="D63" s="294">
        <v>45701.0</v>
      </c>
      <c r="E63" s="295">
        <v>430.0</v>
      </c>
      <c r="F63" s="310"/>
      <c r="G63" s="296"/>
      <c r="H63" s="297"/>
      <c r="L63" s="44"/>
      <c r="M63" s="156"/>
      <c r="N63" s="292"/>
      <c r="O63" s="297"/>
    </row>
    <row r="64" ht="15.75" customHeight="1">
      <c r="B64" s="317" t="s">
        <v>61</v>
      </c>
      <c r="C64" s="318">
        <v>45702.0</v>
      </c>
      <c r="D64" s="319">
        <v>45702.0</v>
      </c>
      <c r="E64" s="320">
        <v>375.0</v>
      </c>
      <c r="F64" s="321"/>
      <c r="G64" s="322"/>
      <c r="H64" s="323"/>
      <c r="L64" s="44"/>
      <c r="M64" s="156"/>
      <c r="N64" s="292"/>
      <c r="O64" s="297"/>
    </row>
    <row r="65" ht="15.75" customHeight="1">
      <c r="B65" s="317" t="s">
        <v>61</v>
      </c>
      <c r="C65" s="318">
        <v>45709.0</v>
      </c>
      <c r="D65" s="319">
        <v>45709.0</v>
      </c>
      <c r="E65" s="320">
        <v>350.0</v>
      </c>
      <c r="F65" s="321"/>
      <c r="G65" s="322"/>
      <c r="H65" s="323"/>
      <c r="L65" s="44"/>
      <c r="M65" s="156"/>
      <c r="N65" s="292"/>
      <c r="O65" s="297"/>
    </row>
    <row r="66" ht="15.75" customHeight="1">
      <c r="B66" s="317" t="s">
        <v>61</v>
      </c>
      <c r="C66" s="318">
        <v>45712.0</v>
      </c>
      <c r="D66" s="319">
        <v>45712.0</v>
      </c>
      <c r="E66" s="320">
        <v>380.0</v>
      </c>
      <c r="F66" s="321"/>
      <c r="G66" s="322"/>
      <c r="H66" s="323"/>
      <c r="L66" s="44"/>
      <c r="M66" s="156"/>
      <c r="N66" s="292"/>
      <c r="O66" s="297"/>
    </row>
    <row r="67" ht="15.75" customHeight="1">
      <c r="B67" s="317" t="s">
        <v>26</v>
      </c>
      <c r="C67" s="318">
        <v>45714.0</v>
      </c>
      <c r="D67" s="319">
        <v>45714.0</v>
      </c>
      <c r="E67" s="320">
        <v>500.0</v>
      </c>
      <c r="F67" s="321"/>
      <c r="G67" s="322"/>
      <c r="H67" s="323"/>
      <c r="L67" s="44"/>
      <c r="M67" s="156"/>
      <c r="N67" s="292"/>
      <c r="O67" s="297"/>
    </row>
    <row r="68" ht="15.75" customHeight="1">
      <c r="B68" s="317" t="s">
        <v>61</v>
      </c>
      <c r="C68" s="318">
        <v>45714.0</v>
      </c>
      <c r="D68" s="319">
        <v>45714.0</v>
      </c>
      <c r="E68" s="320">
        <v>440.0</v>
      </c>
      <c r="F68" s="321"/>
      <c r="G68" s="322"/>
      <c r="H68" s="323"/>
      <c r="L68" s="44"/>
      <c r="M68" s="156"/>
      <c r="N68" s="292"/>
      <c r="O68" s="297"/>
    </row>
    <row r="69" ht="15.75" customHeight="1">
      <c r="B69" s="317" t="s">
        <v>32</v>
      </c>
      <c r="C69" s="318">
        <v>45715.0</v>
      </c>
      <c r="D69" s="319">
        <v>45715.0</v>
      </c>
      <c r="E69" s="320">
        <v>355.0</v>
      </c>
      <c r="F69" s="321"/>
      <c r="G69" s="322"/>
      <c r="H69" s="323"/>
      <c r="L69" s="44"/>
      <c r="M69" s="156"/>
      <c r="N69" s="292"/>
      <c r="O69" s="297"/>
    </row>
    <row r="70" ht="15.75" customHeight="1">
      <c r="B70" s="317" t="s">
        <v>61</v>
      </c>
      <c r="C70" s="318">
        <v>45716.0</v>
      </c>
      <c r="D70" s="319">
        <v>45716.0</v>
      </c>
      <c r="E70" s="320">
        <v>440.0</v>
      </c>
      <c r="F70" s="321"/>
      <c r="G70" s="322"/>
      <c r="H70" s="323"/>
      <c r="L70" s="44"/>
      <c r="M70" s="156"/>
      <c r="N70" s="292"/>
      <c r="O70" s="297"/>
    </row>
    <row r="71" ht="15.75" customHeight="1">
      <c r="B71" s="317" t="s">
        <v>32</v>
      </c>
      <c r="C71" s="318">
        <v>45719.0</v>
      </c>
      <c r="D71" s="319">
        <v>45719.0</v>
      </c>
      <c r="E71" s="320">
        <v>500.0</v>
      </c>
      <c r="F71" s="321"/>
      <c r="G71" s="322"/>
      <c r="H71" s="323"/>
      <c r="L71" s="44"/>
      <c r="M71" s="156"/>
      <c r="N71" s="292"/>
      <c r="O71" s="297"/>
    </row>
    <row r="72" ht="15.75" customHeight="1">
      <c r="B72" s="317" t="s">
        <v>61</v>
      </c>
      <c r="C72" s="318">
        <v>45720.0</v>
      </c>
      <c r="D72" s="319">
        <v>45720.0</v>
      </c>
      <c r="E72" s="320">
        <v>380.0</v>
      </c>
      <c r="F72" s="321"/>
      <c r="G72" s="322"/>
      <c r="H72" s="323"/>
      <c r="L72" s="44"/>
      <c r="M72" s="156"/>
      <c r="N72" s="292"/>
      <c r="O72" s="297"/>
    </row>
    <row r="73" ht="15.75" customHeight="1">
      <c r="B73" s="317" t="s">
        <v>26</v>
      </c>
      <c r="C73" s="318">
        <v>45721.0</v>
      </c>
      <c r="D73" s="319">
        <v>45721.0</v>
      </c>
      <c r="E73" s="320">
        <v>500.0</v>
      </c>
      <c r="F73" s="321"/>
      <c r="G73" s="322"/>
      <c r="H73" s="323"/>
      <c r="L73" s="44"/>
      <c r="M73" s="156"/>
      <c r="N73" s="292"/>
      <c r="O73" s="297"/>
    </row>
    <row r="74" ht="15.75" customHeight="1">
      <c r="B74" s="317" t="s">
        <v>61</v>
      </c>
      <c r="C74" s="318">
        <v>45721.0</v>
      </c>
      <c r="D74" s="319">
        <v>45721.0</v>
      </c>
      <c r="E74" s="320">
        <v>375.0</v>
      </c>
      <c r="F74" s="321"/>
      <c r="G74" s="322"/>
      <c r="H74" s="323"/>
      <c r="L74" s="44"/>
      <c r="M74" s="156"/>
      <c r="N74" s="292"/>
      <c r="O74" s="297"/>
    </row>
    <row r="75" ht="15.75" customHeight="1">
      <c r="B75" s="317" t="s">
        <v>32</v>
      </c>
      <c r="C75" s="318">
        <v>45722.0</v>
      </c>
      <c r="D75" s="319">
        <v>45722.0</v>
      </c>
      <c r="E75" s="320">
        <v>485.0</v>
      </c>
      <c r="F75" s="321">
        <v>15.0</v>
      </c>
      <c r="G75" s="322"/>
      <c r="H75" s="323"/>
      <c r="L75" s="44"/>
      <c r="M75" s="156"/>
      <c r="N75" s="292"/>
      <c r="O75" s="297"/>
    </row>
    <row r="76" ht="15.75" customHeight="1">
      <c r="B76" s="317" t="s">
        <v>271</v>
      </c>
      <c r="C76" s="318">
        <v>45723.0</v>
      </c>
      <c r="D76" s="319">
        <v>45723.0</v>
      </c>
      <c r="E76" s="320">
        <v>500.0</v>
      </c>
      <c r="F76" s="321"/>
      <c r="G76" s="322"/>
      <c r="H76" s="323"/>
      <c r="L76" s="44"/>
      <c r="M76" s="156"/>
      <c r="N76" s="292"/>
      <c r="O76" s="297"/>
    </row>
    <row r="77" ht="15.75" customHeight="1">
      <c r="B77" s="317" t="s">
        <v>300</v>
      </c>
      <c r="C77" s="318">
        <v>45727.0</v>
      </c>
      <c r="D77" s="319">
        <v>45727.0</v>
      </c>
      <c r="E77" s="320">
        <v>500.0</v>
      </c>
      <c r="F77" s="321"/>
      <c r="G77" s="322"/>
      <c r="H77" s="323"/>
      <c r="L77" s="44"/>
      <c r="M77" s="156"/>
      <c r="N77" s="292"/>
      <c r="O77" s="297"/>
    </row>
    <row r="78" ht="15.75" customHeight="1">
      <c r="B78" s="317" t="s">
        <v>26</v>
      </c>
      <c r="C78" s="318">
        <v>45728.0</v>
      </c>
      <c r="D78" s="319">
        <v>45728.0</v>
      </c>
      <c r="E78" s="320">
        <v>500.0</v>
      </c>
      <c r="F78" s="321"/>
      <c r="G78" s="322"/>
      <c r="H78" s="323"/>
      <c r="L78" s="44"/>
      <c r="M78" s="156"/>
      <c r="N78" s="292"/>
      <c r="O78" s="297"/>
    </row>
    <row r="79" ht="15.75" customHeight="1">
      <c r="B79" s="317" t="s">
        <v>61</v>
      </c>
      <c r="C79" s="318">
        <v>45728.0</v>
      </c>
      <c r="D79" s="319">
        <v>45728.0</v>
      </c>
      <c r="E79" s="320">
        <v>375.0</v>
      </c>
      <c r="F79" s="321"/>
      <c r="G79" s="322"/>
      <c r="H79" s="323"/>
      <c r="L79" s="44"/>
      <c r="M79" s="156"/>
      <c r="N79" s="292"/>
      <c r="O79" s="297"/>
    </row>
    <row r="80" ht="15.75" customHeight="1">
      <c r="B80" s="317" t="s">
        <v>32</v>
      </c>
      <c r="C80" s="318">
        <v>45729.0</v>
      </c>
      <c r="D80" s="319">
        <v>45729.0</v>
      </c>
      <c r="E80" s="320">
        <v>480.0</v>
      </c>
      <c r="F80" s="321"/>
      <c r="G80" s="322"/>
      <c r="H80" s="323"/>
      <c r="L80" s="44"/>
      <c r="M80" s="156"/>
      <c r="N80" s="292"/>
      <c r="O80" s="297"/>
    </row>
    <row r="81" ht="15.75" customHeight="1">
      <c r="B81" s="317" t="s">
        <v>271</v>
      </c>
      <c r="C81" s="318">
        <v>45730.0</v>
      </c>
      <c r="D81" s="319">
        <v>45730.0</v>
      </c>
      <c r="E81" s="320">
        <v>500.0</v>
      </c>
      <c r="F81" s="321"/>
      <c r="G81" s="322"/>
      <c r="H81" s="323"/>
      <c r="L81" s="44"/>
      <c r="M81" s="156"/>
      <c r="N81" s="292"/>
      <c r="O81" s="297"/>
    </row>
    <row r="82" ht="15.75" customHeight="1">
      <c r="B82" s="317" t="s">
        <v>61</v>
      </c>
      <c r="C82" s="318">
        <v>45733.0</v>
      </c>
      <c r="D82" s="319">
        <v>45733.0</v>
      </c>
      <c r="E82" s="320">
        <v>490.0</v>
      </c>
      <c r="F82" s="321"/>
      <c r="G82" s="322"/>
      <c r="H82" s="323"/>
      <c r="L82" s="44"/>
      <c r="M82" s="156"/>
      <c r="N82" s="292"/>
      <c r="O82" s="297"/>
    </row>
    <row r="83" ht="15.75" customHeight="1">
      <c r="B83" s="317" t="s">
        <v>26</v>
      </c>
      <c r="C83" s="318">
        <v>45735.0</v>
      </c>
      <c r="D83" s="319">
        <v>45735.0</v>
      </c>
      <c r="E83" s="320">
        <v>250.0</v>
      </c>
      <c r="F83" s="321"/>
      <c r="G83" s="322"/>
      <c r="H83" s="323"/>
      <c r="L83" s="44"/>
      <c r="M83" s="156"/>
      <c r="N83" s="292"/>
      <c r="O83" s="297"/>
    </row>
    <row r="84" ht="15.75" customHeight="1">
      <c r="B84" s="317" t="s">
        <v>61</v>
      </c>
      <c r="C84" s="318">
        <v>45735.0</v>
      </c>
      <c r="D84" s="319">
        <v>45735.0</v>
      </c>
      <c r="E84" s="320">
        <v>370.0</v>
      </c>
      <c r="F84" s="321"/>
      <c r="G84" s="322"/>
      <c r="H84" s="323"/>
      <c r="L84" s="44"/>
      <c r="M84" s="156"/>
      <c r="N84" s="292"/>
      <c r="O84" s="297"/>
    </row>
    <row r="85" ht="15.75" customHeight="1">
      <c r="B85" s="317" t="s">
        <v>32</v>
      </c>
      <c r="C85" s="318">
        <v>45736.0</v>
      </c>
      <c r="D85" s="319">
        <v>45736.0</v>
      </c>
      <c r="E85" s="320">
        <v>360.0</v>
      </c>
      <c r="F85" s="321"/>
      <c r="G85" s="322"/>
      <c r="H85" s="323"/>
      <c r="L85" s="44"/>
      <c r="M85" s="156"/>
      <c r="N85" s="292"/>
      <c r="O85" s="297"/>
    </row>
    <row r="86" ht="15.75" customHeight="1">
      <c r="B86" s="317" t="s">
        <v>36</v>
      </c>
      <c r="C86" s="318">
        <v>45737.0</v>
      </c>
      <c r="D86" s="319">
        <v>45737.0</v>
      </c>
      <c r="E86" s="320">
        <v>100.0</v>
      </c>
      <c r="F86" s="321"/>
      <c r="G86" s="322"/>
      <c r="H86" s="323"/>
      <c r="L86" s="44"/>
      <c r="M86" s="156"/>
      <c r="N86" s="292"/>
      <c r="O86" s="297"/>
    </row>
    <row r="87" ht="15.75" customHeight="1">
      <c r="B87" s="317" t="s">
        <v>137</v>
      </c>
      <c r="C87" s="318">
        <v>45737.0</v>
      </c>
      <c r="D87" s="319">
        <v>45737.0</v>
      </c>
      <c r="E87" s="320">
        <v>500.0</v>
      </c>
      <c r="F87" s="321"/>
      <c r="G87" s="322"/>
      <c r="H87" s="323"/>
      <c r="L87" s="44"/>
      <c r="M87" s="156"/>
      <c r="N87" s="292"/>
      <c r="O87" s="297"/>
    </row>
    <row r="88" ht="15.75" customHeight="1">
      <c r="B88" s="317"/>
      <c r="C88" s="318"/>
      <c r="D88" s="319"/>
      <c r="E88" s="320"/>
      <c r="F88" s="321"/>
      <c r="G88" s="322"/>
      <c r="H88" s="323"/>
      <c r="L88" s="44"/>
      <c r="M88" s="156"/>
      <c r="N88" s="292"/>
      <c r="O88" s="297"/>
    </row>
    <row r="89" ht="15.75" customHeight="1">
      <c r="B89" s="317"/>
      <c r="C89" s="318"/>
      <c r="D89" s="319"/>
      <c r="E89" s="320"/>
      <c r="F89" s="321"/>
      <c r="G89" s="322"/>
      <c r="H89" s="323"/>
      <c r="L89" s="44"/>
      <c r="M89" s="156"/>
      <c r="N89" s="292"/>
      <c r="O89" s="297"/>
    </row>
    <row r="90" ht="15.75" customHeight="1">
      <c r="B90" s="317"/>
      <c r="C90" s="318"/>
      <c r="D90" s="319"/>
      <c r="E90" s="320"/>
      <c r="F90" s="321"/>
      <c r="G90" s="322"/>
      <c r="H90" s="323"/>
      <c r="L90" s="44"/>
      <c r="M90" s="156"/>
      <c r="N90" s="292"/>
      <c r="O90" s="297"/>
    </row>
    <row r="91" ht="15.75" customHeight="1">
      <c r="B91" s="317"/>
      <c r="C91" s="318"/>
      <c r="D91" s="319"/>
      <c r="E91" s="320"/>
      <c r="F91" s="321"/>
      <c r="G91" s="322"/>
      <c r="H91" s="323"/>
      <c r="L91" s="44"/>
      <c r="M91" s="156"/>
      <c r="N91" s="292"/>
      <c r="O91" s="297"/>
    </row>
    <row r="92" ht="15.75" customHeight="1">
      <c r="B92" s="317"/>
      <c r="C92" s="318"/>
      <c r="D92" s="319"/>
      <c r="E92" s="320"/>
      <c r="F92" s="321"/>
      <c r="G92" s="322"/>
      <c r="H92" s="323"/>
      <c r="L92" s="44"/>
      <c r="M92" s="156"/>
      <c r="N92" s="292"/>
      <c r="O92" s="297"/>
    </row>
    <row r="93" ht="15.75" customHeight="1">
      <c r="B93" s="317"/>
      <c r="C93" s="318"/>
      <c r="D93" s="319"/>
      <c r="E93" s="320"/>
      <c r="F93" s="321"/>
      <c r="G93" s="322"/>
      <c r="H93" s="323"/>
      <c r="L93" s="44"/>
      <c r="M93" s="156"/>
      <c r="N93" s="292"/>
      <c r="O93" s="297"/>
    </row>
    <row r="94" ht="15.75" customHeight="1">
      <c r="B94" s="317"/>
      <c r="C94" s="318"/>
      <c r="D94" s="319"/>
      <c r="E94" s="320"/>
      <c r="F94" s="321"/>
      <c r="G94" s="322"/>
      <c r="H94" s="323"/>
      <c r="L94" s="44"/>
      <c r="M94" s="156"/>
      <c r="N94" s="292"/>
      <c r="O94" s="297"/>
    </row>
    <row r="95" ht="15.75" customHeight="1">
      <c r="B95" s="317"/>
      <c r="C95" s="318"/>
      <c r="D95" s="319"/>
      <c r="E95" s="320"/>
      <c r="F95" s="321"/>
      <c r="G95" s="322"/>
      <c r="H95" s="323"/>
      <c r="L95" s="324"/>
      <c r="M95" s="318"/>
      <c r="N95" s="325"/>
      <c r="O95" s="323"/>
    </row>
    <row r="96" ht="15.0" customHeight="1">
      <c r="B96" s="317"/>
      <c r="C96" s="318"/>
      <c r="D96" s="319"/>
      <c r="E96" s="320"/>
      <c r="F96" s="321"/>
      <c r="G96" s="322"/>
      <c r="H96" s="323"/>
      <c r="L96" s="326" t="s">
        <v>46</v>
      </c>
      <c r="M96" s="251"/>
      <c r="N96" s="327">
        <f>SUM(N5:N95)</f>
        <v>42082</v>
      </c>
      <c r="O96" s="264"/>
    </row>
    <row r="97" ht="24.0" customHeight="1">
      <c r="B97" s="253" t="s">
        <v>46</v>
      </c>
      <c r="C97" s="117"/>
      <c r="D97" s="118"/>
      <c r="E97" s="263">
        <f>SUM(E5:E96)+SUM(G5:G96)</f>
        <v>38345</v>
      </c>
      <c r="F97" s="263"/>
      <c r="G97" s="263">
        <f>SUM(G5:G96)</f>
        <v>0</v>
      </c>
      <c r="H97" s="264"/>
      <c r="L97" s="255"/>
      <c r="M97" s="256"/>
      <c r="N97" s="257"/>
      <c r="O97" s="328"/>
    </row>
    <row r="98" ht="15.75" customHeight="1">
      <c r="B98" s="253" t="s">
        <v>140</v>
      </c>
      <c r="C98" s="117"/>
      <c r="D98" s="118"/>
      <c r="E98" s="263">
        <f>E97-N98</f>
        <v>7816</v>
      </c>
      <c r="F98" s="263"/>
      <c r="G98" s="263"/>
      <c r="H98" s="264"/>
      <c r="L98" s="329" t="s">
        <v>141</v>
      </c>
      <c r="M98" s="16"/>
      <c r="N98" s="330">
        <f>SUM(N5:N22,N27,N29,N31,N35,N36,N37,N43,N45,N47,N48:N50,N52:N55)</f>
        <v>30529</v>
      </c>
      <c r="O98" s="331" t="s">
        <v>325</v>
      </c>
    </row>
    <row r="99" ht="15.75" customHeight="1">
      <c r="B99" s="260" t="s">
        <v>142</v>
      </c>
      <c r="C99" s="117"/>
      <c r="D99" s="118"/>
      <c r="E99" s="261"/>
      <c r="F99" s="262"/>
      <c r="G99" s="263"/>
      <c r="H99" s="264"/>
      <c r="L99" s="267" t="s">
        <v>143</v>
      </c>
      <c r="M99" s="268"/>
      <c r="N99" s="5">
        <f>6000-SUM(N43,N45,N47,N48,N49,N50,N52,N53,N54,N55)</f>
        <v>0</v>
      </c>
      <c r="O99" s="332">
        <f>SUM(N33,N40,N41,N42,N51,N56,N57,N58,N59,N60)</f>
        <v>5199</v>
      </c>
    </row>
    <row r="100" ht="15.75" customHeight="1">
      <c r="B100" s="260" t="s">
        <v>145</v>
      </c>
      <c r="C100" s="117"/>
      <c r="D100" s="118"/>
      <c r="E100" s="263"/>
      <c r="F100" s="266"/>
      <c r="G100" s="263"/>
      <c r="H100" s="264"/>
      <c r="L100" s="267"/>
      <c r="M100" s="268"/>
      <c r="N100" s="5"/>
      <c r="O100" s="112"/>
    </row>
    <row r="101" ht="15.75" customHeight="1">
      <c r="B101" s="269" t="s">
        <v>146</v>
      </c>
      <c r="C101" s="117"/>
      <c r="D101" s="118"/>
      <c r="E101" s="270"/>
      <c r="F101" s="263"/>
      <c r="G101" s="263"/>
      <c r="H101" s="264"/>
      <c r="M101" s="4"/>
      <c r="N101" s="5"/>
    </row>
    <row r="102" ht="15.75" customHeight="1">
      <c r="M102" s="4"/>
      <c r="N102" s="5"/>
    </row>
    <row r="103" ht="15.75" customHeight="1">
      <c r="F103" s="5"/>
      <c r="M103" s="4"/>
      <c r="N103" s="5"/>
    </row>
    <row r="104" ht="15.75" customHeight="1">
      <c r="M104" s="4"/>
      <c r="N104" s="5"/>
    </row>
    <row r="105" ht="15.75" customHeight="1">
      <c r="E105" s="5">
        <f>E98-680-707-500-2500-580-500-500</f>
        <v>1849</v>
      </c>
      <c r="M105" s="4"/>
      <c r="N105" s="5"/>
    </row>
    <row r="106" ht="15.75" customHeight="1">
      <c r="M106" s="4"/>
      <c r="N106" s="5"/>
    </row>
    <row r="107" ht="15.75" customHeight="1">
      <c r="C107" s="115"/>
      <c r="D107" s="206" t="s">
        <v>147</v>
      </c>
      <c r="E107" s="117"/>
      <c r="F107" s="117"/>
      <c r="G107" s="118"/>
      <c r="M107" s="4"/>
      <c r="N107" s="5"/>
    </row>
    <row r="108" ht="15.75" customHeight="1">
      <c r="C108" s="115"/>
      <c r="D108" s="207">
        <v>418.0</v>
      </c>
      <c r="E108" s="208">
        <v>2400.0</v>
      </c>
      <c r="F108" s="176">
        <v>200.0</v>
      </c>
      <c r="G108" s="177">
        <v>4700.0</v>
      </c>
      <c r="M108" s="4"/>
      <c r="N108" s="5"/>
    </row>
    <row r="109" ht="15.75" customHeight="1">
      <c r="C109" s="271" t="s">
        <v>301</v>
      </c>
      <c r="D109" s="207">
        <v>18.0</v>
      </c>
      <c r="E109" s="208">
        <v>16.0</v>
      </c>
      <c r="F109" s="176">
        <v>15.0</v>
      </c>
      <c r="G109" s="177">
        <v>50.0</v>
      </c>
      <c r="M109" s="4"/>
      <c r="N109" s="5"/>
    </row>
    <row r="110" ht="15.75" customHeight="1">
      <c r="C110" s="115"/>
      <c r="D110" s="209" t="s">
        <v>158</v>
      </c>
      <c r="E110" s="118"/>
      <c r="F110" s="130">
        <f>SUM(D108:G108,D109:G109)</f>
        <v>7817</v>
      </c>
      <c r="G110" s="115"/>
      <c r="M110" s="4"/>
      <c r="N110" s="5"/>
    </row>
    <row r="111" ht="60.75" customHeight="1">
      <c r="C111" s="115"/>
      <c r="D111" s="210" t="s">
        <v>159</v>
      </c>
      <c r="E111" s="118"/>
      <c r="F111" s="132">
        <f>E98-O99</f>
        <v>2617</v>
      </c>
      <c r="G111" s="115"/>
      <c r="M111" s="4"/>
      <c r="N111" s="5"/>
    </row>
    <row r="112" ht="15.75" customHeight="1">
      <c r="M112" s="4"/>
      <c r="N112" s="5"/>
    </row>
    <row r="113" ht="15.75" customHeight="1">
      <c r="M113" s="4"/>
      <c r="N113" s="5"/>
    </row>
    <row r="114" ht="15.75" customHeight="1">
      <c r="M114" s="4"/>
      <c r="N114" s="5"/>
    </row>
    <row r="115" ht="15.75" customHeight="1">
      <c r="M115" s="4"/>
      <c r="N115" s="5"/>
    </row>
    <row r="116" ht="15.75" customHeight="1">
      <c r="M116" s="4"/>
      <c r="N116" s="5"/>
    </row>
    <row r="117" ht="15.75" customHeight="1">
      <c r="M117" s="4"/>
      <c r="N117" s="5"/>
    </row>
    <row r="118" ht="15.75" customHeight="1">
      <c r="M118" s="4"/>
      <c r="N118" s="5"/>
    </row>
    <row r="119" ht="15.75" customHeight="1">
      <c r="M119" s="4"/>
      <c r="N119" s="5"/>
    </row>
    <row r="120" ht="15.75" customHeight="1">
      <c r="M120" s="4"/>
      <c r="N120" s="5"/>
    </row>
    <row r="121" ht="15.75" customHeight="1">
      <c r="M121" s="4"/>
      <c r="N121" s="5"/>
    </row>
    <row r="122" ht="15.75" customHeight="1">
      <c r="M122" s="4"/>
      <c r="N122" s="5"/>
    </row>
    <row r="123" ht="15.75" customHeight="1">
      <c r="M123" s="4"/>
      <c r="N123" s="5"/>
    </row>
    <row r="124" ht="15.75" customHeight="1">
      <c r="M124" s="4"/>
      <c r="N124" s="5"/>
    </row>
    <row r="125" ht="15.75" customHeight="1">
      <c r="M125" s="4"/>
      <c r="N125" s="5"/>
    </row>
    <row r="126" ht="15.75" customHeight="1">
      <c r="M126" s="4"/>
      <c r="N126" s="5"/>
    </row>
    <row r="127" ht="15.75" customHeight="1">
      <c r="M127" s="4"/>
      <c r="N127" s="5"/>
    </row>
    <row r="128" ht="15.75" customHeight="1">
      <c r="M128" s="4"/>
      <c r="N128" s="5"/>
    </row>
    <row r="129" ht="15.75" customHeight="1">
      <c r="M129" s="4"/>
      <c r="N129" s="5"/>
    </row>
    <row r="130" ht="15.75" customHeight="1">
      <c r="M130" s="4"/>
      <c r="N130" s="5"/>
    </row>
    <row r="131" ht="15.75" customHeight="1">
      <c r="M131" s="4"/>
      <c r="N131" s="5"/>
    </row>
    <row r="132" ht="15.75" customHeight="1">
      <c r="M132" s="4"/>
      <c r="N132" s="5"/>
    </row>
    <row r="133" ht="15.75" customHeight="1">
      <c r="M133" s="4"/>
      <c r="N133" s="5"/>
    </row>
    <row r="134" ht="15.75" customHeight="1">
      <c r="M134" s="4"/>
      <c r="N134" s="5"/>
    </row>
    <row r="135" ht="15.75" customHeight="1">
      <c r="M135" s="4"/>
      <c r="N135" s="5"/>
    </row>
    <row r="136" ht="15.75" customHeight="1">
      <c r="M136" s="4"/>
      <c r="N136" s="5"/>
    </row>
    <row r="137" ht="15.75" customHeight="1">
      <c r="M137" s="4"/>
      <c r="N137" s="5"/>
    </row>
    <row r="138" ht="15.75" customHeight="1">
      <c r="M138" s="4"/>
      <c r="N138" s="5"/>
    </row>
    <row r="139" ht="15.75" customHeight="1">
      <c r="M139" s="4"/>
      <c r="N139" s="5"/>
    </row>
    <row r="140" ht="15.75" customHeight="1">
      <c r="M140" s="4"/>
      <c r="N140" s="5"/>
    </row>
    <row r="141" ht="15.75" customHeight="1">
      <c r="M141" s="4"/>
      <c r="N141" s="5"/>
    </row>
    <row r="142" ht="15.75" customHeight="1">
      <c r="M142" s="4"/>
      <c r="N142" s="5"/>
    </row>
    <row r="143" ht="15.75" customHeight="1">
      <c r="M143" s="4"/>
      <c r="N143" s="5"/>
    </row>
    <row r="144" ht="15.75" customHeight="1">
      <c r="M144" s="4"/>
      <c r="N144" s="5"/>
    </row>
    <row r="145" ht="15.75" customHeight="1">
      <c r="M145" s="4"/>
      <c r="N145" s="5"/>
    </row>
    <row r="146" ht="15.75" customHeight="1">
      <c r="M146" s="4"/>
      <c r="N146" s="5"/>
    </row>
    <row r="147" ht="15.75" customHeight="1">
      <c r="M147" s="4"/>
      <c r="N147" s="5"/>
    </row>
    <row r="148" ht="15.75" customHeight="1">
      <c r="M148" s="4"/>
      <c r="N148" s="5"/>
    </row>
    <row r="149" ht="15.75" customHeight="1">
      <c r="M149" s="4"/>
      <c r="N149" s="5"/>
    </row>
    <row r="150" ht="15.75" customHeight="1">
      <c r="M150" s="4"/>
      <c r="N150" s="5"/>
    </row>
    <row r="151" ht="15.75" customHeight="1">
      <c r="M151" s="4"/>
      <c r="N151" s="5"/>
    </row>
    <row r="152" ht="15.75" customHeight="1">
      <c r="M152" s="4"/>
      <c r="N152" s="5"/>
    </row>
    <row r="153" ht="15.75" customHeight="1">
      <c r="M153" s="4"/>
      <c r="N153" s="5"/>
    </row>
    <row r="154" ht="15.75" customHeight="1">
      <c r="M154" s="4"/>
      <c r="N154" s="5"/>
    </row>
    <row r="155" ht="15.75" customHeight="1">
      <c r="M155" s="4"/>
      <c r="N155" s="5"/>
    </row>
    <row r="156" ht="15.75" customHeight="1">
      <c r="M156" s="4"/>
      <c r="N156" s="5"/>
    </row>
    <row r="157" ht="15.75" customHeight="1">
      <c r="M157" s="4"/>
      <c r="N157" s="5"/>
    </row>
    <row r="158" ht="15.75" customHeight="1">
      <c r="M158" s="4"/>
      <c r="N158" s="5"/>
    </row>
    <row r="159" ht="15.75" customHeight="1">
      <c r="M159" s="4"/>
      <c r="N159" s="5"/>
    </row>
    <row r="160" ht="15.75" customHeight="1">
      <c r="M160" s="4"/>
      <c r="N160" s="5"/>
    </row>
    <row r="161" ht="15.75" customHeight="1">
      <c r="M161" s="4"/>
      <c r="N161" s="5"/>
    </row>
    <row r="162" ht="15.75" customHeight="1">
      <c r="M162" s="4"/>
      <c r="N162" s="5"/>
    </row>
    <row r="163" ht="15.75" customHeight="1">
      <c r="M163" s="4"/>
      <c r="N163" s="5"/>
    </row>
    <row r="164" ht="15.75" customHeight="1">
      <c r="M164" s="4"/>
      <c r="N164" s="5"/>
    </row>
    <row r="165" ht="15.75" customHeight="1">
      <c r="M165" s="4"/>
      <c r="N165" s="5"/>
    </row>
    <row r="166" ht="15.75" customHeight="1">
      <c r="M166" s="4"/>
      <c r="N166" s="5"/>
    </row>
    <row r="167" ht="15.75" customHeight="1">
      <c r="M167" s="4"/>
      <c r="N167" s="5"/>
    </row>
    <row r="168" ht="15.75" customHeight="1">
      <c r="M168" s="4"/>
      <c r="N168" s="5"/>
    </row>
    <row r="169" ht="15.75" customHeight="1">
      <c r="M169" s="4"/>
      <c r="N169" s="5"/>
    </row>
    <row r="170" ht="15.75" customHeight="1">
      <c r="M170" s="4"/>
      <c r="N170" s="5"/>
    </row>
    <row r="171" ht="15.75" customHeight="1">
      <c r="M171" s="4"/>
      <c r="N171" s="5"/>
    </row>
    <row r="172" ht="15.75" customHeight="1">
      <c r="M172" s="4"/>
      <c r="N172" s="5"/>
    </row>
    <row r="173" ht="15.75" customHeight="1">
      <c r="M173" s="4"/>
      <c r="N173" s="5"/>
    </row>
    <row r="174" ht="15.75" customHeight="1">
      <c r="M174" s="4"/>
      <c r="N174" s="5"/>
    </row>
    <row r="175" ht="15.75" customHeight="1">
      <c r="M175" s="4"/>
      <c r="N175" s="5"/>
    </row>
    <row r="176" ht="15.75" customHeight="1">
      <c r="M176" s="4"/>
      <c r="N176" s="5"/>
    </row>
    <row r="177" ht="15.75" customHeight="1">
      <c r="M177" s="4"/>
      <c r="N177" s="5"/>
    </row>
    <row r="178" ht="15.75" customHeight="1">
      <c r="M178" s="4"/>
      <c r="N178" s="5"/>
    </row>
    <row r="179" ht="15.75" customHeight="1">
      <c r="M179" s="4"/>
      <c r="N179" s="5"/>
    </row>
    <row r="180" ht="15.75" customHeight="1">
      <c r="M180" s="4"/>
      <c r="N180" s="5"/>
    </row>
    <row r="181" ht="15.75" customHeight="1">
      <c r="M181" s="4"/>
      <c r="N181" s="5"/>
    </row>
    <row r="182" ht="15.75" customHeight="1">
      <c r="M182" s="4"/>
      <c r="N182" s="5"/>
    </row>
    <row r="183" ht="15.75" customHeight="1">
      <c r="M183" s="4"/>
      <c r="N183" s="5"/>
    </row>
    <row r="184" ht="15.75" customHeight="1">
      <c r="M184" s="4"/>
      <c r="N184" s="5"/>
    </row>
    <row r="185" ht="15.75" customHeight="1">
      <c r="M185" s="4"/>
      <c r="N185" s="5"/>
    </row>
    <row r="186" ht="15.75" customHeight="1">
      <c r="M186" s="4"/>
      <c r="N186" s="5"/>
    </row>
    <row r="187" ht="15.75" customHeight="1">
      <c r="M187" s="4"/>
      <c r="N187" s="5"/>
    </row>
    <row r="188" ht="15.75" customHeight="1">
      <c r="M188" s="4"/>
      <c r="N188" s="5"/>
    </row>
    <row r="189" ht="15.75" customHeight="1">
      <c r="M189" s="4"/>
      <c r="N189" s="5"/>
    </row>
    <row r="190" ht="15.75" customHeight="1">
      <c r="M190" s="4"/>
      <c r="N190" s="5"/>
    </row>
    <row r="191" ht="15.75" customHeight="1">
      <c r="M191" s="4"/>
      <c r="N191" s="5"/>
    </row>
    <row r="192" ht="15.75" customHeight="1">
      <c r="M192" s="4"/>
      <c r="N192" s="5"/>
    </row>
    <row r="193" ht="15.75" customHeight="1">
      <c r="M193" s="4"/>
      <c r="N193" s="5"/>
    </row>
    <row r="194" ht="15.75" customHeight="1">
      <c r="M194" s="4"/>
      <c r="N194" s="5"/>
    </row>
    <row r="195" ht="15.75" customHeight="1">
      <c r="M195" s="4"/>
      <c r="N195" s="5"/>
    </row>
    <row r="196" ht="15.75" customHeight="1">
      <c r="M196" s="4"/>
      <c r="N196" s="5"/>
    </row>
    <row r="197" ht="15.75" customHeight="1">
      <c r="M197" s="4"/>
      <c r="N197" s="5"/>
    </row>
    <row r="198" ht="15.75" customHeight="1">
      <c r="M198" s="4"/>
      <c r="N198" s="5"/>
    </row>
    <row r="199" ht="15.75" customHeight="1">
      <c r="M199" s="4"/>
      <c r="N199" s="5"/>
    </row>
    <row r="200" ht="15.75" customHeight="1">
      <c r="M200" s="4"/>
      <c r="N200" s="5"/>
    </row>
    <row r="201" ht="15.75" customHeight="1">
      <c r="M201" s="4"/>
      <c r="N201" s="5"/>
    </row>
    <row r="202" ht="15.75" customHeight="1">
      <c r="M202" s="4"/>
      <c r="N202" s="5"/>
    </row>
    <row r="203" ht="15.75" customHeight="1">
      <c r="M203" s="4"/>
      <c r="N203" s="5"/>
    </row>
    <row r="204" ht="15.75" customHeight="1">
      <c r="M204" s="4"/>
      <c r="N204" s="5"/>
    </row>
    <row r="205" ht="15.75" customHeight="1">
      <c r="M205" s="4"/>
      <c r="N205" s="5"/>
    </row>
    <row r="206" ht="15.75" customHeight="1">
      <c r="M206" s="4"/>
      <c r="N206" s="5"/>
    </row>
    <row r="207" ht="15.75" customHeight="1">
      <c r="M207" s="4"/>
      <c r="N207" s="5"/>
    </row>
    <row r="208" ht="15.75" customHeight="1">
      <c r="M208" s="4"/>
      <c r="N208" s="5"/>
    </row>
    <row r="209" ht="15.75" customHeight="1">
      <c r="M209" s="4"/>
      <c r="N209" s="5"/>
    </row>
    <row r="210" ht="15.75" customHeight="1">
      <c r="M210" s="4"/>
      <c r="N210" s="5"/>
    </row>
    <row r="211" ht="15.75" customHeight="1">
      <c r="M211" s="4"/>
      <c r="N211" s="5"/>
    </row>
    <row r="212" ht="15.75" customHeight="1">
      <c r="M212" s="4"/>
      <c r="N212" s="5"/>
    </row>
    <row r="213" ht="15.75" customHeight="1">
      <c r="M213" s="4"/>
      <c r="N213" s="5"/>
    </row>
    <row r="214" ht="15.75" customHeight="1">
      <c r="M214" s="4"/>
      <c r="N214" s="5"/>
    </row>
    <row r="215" ht="15.75" customHeight="1">
      <c r="M215" s="4"/>
      <c r="N215" s="5"/>
    </row>
    <row r="216" ht="15.75" customHeight="1">
      <c r="M216" s="4"/>
      <c r="N216" s="5"/>
    </row>
    <row r="217" ht="15.75" customHeight="1">
      <c r="M217" s="4"/>
      <c r="N217" s="5"/>
    </row>
    <row r="218" ht="15.75" customHeight="1">
      <c r="M218" s="4"/>
      <c r="N218" s="5"/>
    </row>
    <row r="219" ht="15.75" customHeight="1">
      <c r="M219" s="4"/>
      <c r="N219" s="5"/>
    </row>
    <row r="220" ht="15.75" customHeight="1">
      <c r="M220" s="4"/>
      <c r="N220" s="5"/>
    </row>
    <row r="221" ht="15.75" customHeight="1">
      <c r="M221" s="4"/>
      <c r="N221" s="5"/>
    </row>
    <row r="222" ht="15.75" customHeight="1">
      <c r="M222" s="4"/>
      <c r="N222" s="5"/>
    </row>
    <row r="223" ht="15.75" customHeight="1">
      <c r="M223" s="4"/>
      <c r="N223" s="5"/>
    </row>
    <row r="224" ht="15.75" customHeight="1">
      <c r="M224" s="4"/>
      <c r="N224" s="5"/>
    </row>
    <row r="225" ht="15.75" customHeight="1">
      <c r="M225" s="4"/>
      <c r="N225" s="5"/>
    </row>
    <row r="226" ht="15.75" customHeight="1">
      <c r="M226" s="4"/>
      <c r="N226" s="5"/>
    </row>
    <row r="227" ht="15.75" customHeight="1">
      <c r="M227" s="4"/>
      <c r="N227" s="5"/>
    </row>
    <row r="228" ht="15.75" customHeight="1">
      <c r="M228" s="4"/>
      <c r="N228" s="5"/>
    </row>
    <row r="229" ht="15.75" customHeight="1">
      <c r="M229" s="4"/>
      <c r="N229" s="5"/>
    </row>
    <row r="230" ht="15.75" customHeight="1">
      <c r="M230" s="4"/>
      <c r="N230" s="5"/>
    </row>
    <row r="231" ht="15.75" customHeight="1">
      <c r="M231" s="4"/>
      <c r="N231" s="5"/>
    </row>
    <row r="232" ht="15.75" customHeight="1">
      <c r="M232" s="4"/>
      <c r="N232" s="5"/>
    </row>
    <row r="233" ht="15.75" customHeight="1">
      <c r="M233" s="4"/>
      <c r="N233" s="5"/>
    </row>
    <row r="234" ht="15.75" customHeight="1">
      <c r="M234" s="4"/>
      <c r="N234" s="5"/>
    </row>
    <row r="235" ht="15.75" customHeight="1">
      <c r="M235" s="4"/>
      <c r="N235" s="5"/>
    </row>
    <row r="236" ht="15.75" customHeight="1">
      <c r="M236" s="4"/>
      <c r="N236" s="5"/>
    </row>
    <row r="237" ht="15.75" customHeight="1">
      <c r="M237" s="4"/>
      <c r="N237" s="5"/>
    </row>
    <row r="238" ht="15.75" customHeight="1">
      <c r="M238" s="4"/>
      <c r="N238" s="5"/>
    </row>
    <row r="239" ht="15.75" customHeight="1">
      <c r="M239" s="4"/>
      <c r="N239" s="5"/>
    </row>
    <row r="240" ht="15.75" customHeight="1">
      <c r="M240" s="4"/>
      <c r="N240" s="5"/>
    </row>
    <row r="241" ht="15.75" customHeight="1">
      <c r="M241" s="4"/>
      <c r="N241" s="5"/>
    </row>
    <row r="242" ht="15.75" customHeight="1">
      <c r="M242" s="4"/>
      <c r="N242" s="5"/>
    </row>
    <row r="243" ht="15.75" customHeight="1">
      <c r="M243" s="4"/>
      <c r="N243" s="5"/>
    </row>
    <row r="244" ht="15.75" customHeight="1">
      <c r="M244" s="4"/>
      <c r="N244" s="5"/>
    </row>
    <row r="245" ht="15.75" customHeight="1">
      <c r="M245" s="4"/>
      <c r="N245" s="5"/>
    </row>
    <row r="246" ht="15.75" customHeight="1">
      <c r="M246" s="4"/>
      <c r="N246" s="5"/>
    </row>
    <row r="247" ht="15.75" customHeight="1">
      <c r="M247" s="4"/>
      <c r="N247" s="5"/>
    </row>
    <row r="248" ht="15.75" customHeight="1">
      <c r="M248" s="4"/>
      <c r="N248" s="5"/>
    </row>
    <row r="249" ht="15.75" customHeight="1">
      <c r="M249" s="4"/>
      <c r="N249" s="5"/>
    </row>
    <row r="250" ht="15.75" customHeight="1">
      <c r="M250" s="4"/>
      <c r="N250" s="5"/>
    </row>
    <row r="251" ht="15.75" customHeight="1">
      <c r="M251" s="4"/>
      <c r="N251" s="5"/>
    </row>
    <row r="252" ht="15.75" customHeight="1">
      <c r="M252" s="4"/>
      <c r="N252" s="5"/>
    </row>
    <row r="253" ht="15.75" customHeight="1">
      <c r="M253" s="4"/>
      <c r="N253" s="5"/>
    </row>
    <row r="254" ht="15.75" customHeight="1">
      <c r="M254" s="4"/>
      <c r="N254" s="5"/>
    </row>
    <row r="255" ht="15.75" customHeight="1">
      <c r="M255" s="4"/>
      <c r="N255" s="5"/>
    </row>
    <row r="256" ht="15.75" customHeight="1">
      <c r="M256" s="4"/>
      <c r="N256" s="5"/>
    </row>
    <row r="257" ht="15.75" customHeight="1">
      <c r="M257" s="4"/>
      <c r="N257" s="5"/>
    </row>
    <row r="258" ht="15.75" customHeight="1">
      <c r="M258" s="4"/>
      <c r="N258" s="5"/>
    </row>
    <row r="259" ht="15.75" customHeight="1">
      <c r="M259" s="4"/>
      <c r="N259" s="5"/>
    </row>
    <row r="260" ht="15.75" customHeight="1">
      <c r="M260" s="4"/>
      <c r="N260" s="5"/>
    </row>
    <row r="261" ht="15.75" customHeight="1">
      <c r="M261" s="4"/>
      <c r="N261" s="5"/>
    </row>
    <row r="262" ht="15.75" customHeight="1">
      <c r="M262" s="4"/>
      <c r="N262" s="5"/>
    </row>
    <row r="263" ht="15.75" customHeight="1">
      <c r="M263" s="4"/>
      <c r="N263" s="5"/>
    </row>
    <row r="264" ht="15.75" customHeight="1">
      <c r="M264" s="4"/>
      <c r="N264" s="5"/>
    </row>
    <row r="265" ht="15.75" customHeight="1">
      <c r="M265" s="4"/>
      <c r="N265" s="5"/>
    </row>
    <row r="266" ht="15.75" customHeight="1">
      <c r="M266" s="4"/>
      <c r="N266" s="5"/>
    </row>
    <row r="267" ht="15.75" customHeight="1">
      <c r="M267" s="4"/>
      <c r="N267" s="5"/>
    </row>
    <row r="268" ht="15.75" customHeight="1">
      <c r="M268" s="4"/>
      <c r="N268" s="5"/>
    </row>
    <row r="269" ht="15.75" customHeight="1">
      <c r="M269" s="4"/>
      <c r="N269" s="5"/>
    </row>
    <row r="270" ht="15.75" customHeight="1">
      <c r="M270" s="4"/>
      <c r="N270" s="5"/>
    </row>
    <row r="271" ht="15.75" customHeight="1">
      <c r="M271" s="4"/>
      <c r="N271" s="5"/>
    </row>
    <row r="272" ht="15.75" customHeight="1">
      <c r="M272" s="4"/>
      <c r="N272" s="5"/>
    </row>
    <row r="273" ht="15.75" customHeight="1">
      <c r="M273" s="4"/>
      <c r="N273" s="5"/>
    </row>
    <row r="274" ht="15.75" customHeight="1">
      <c r="M274" s="4"/>
      <c r="N274" s="5"/>
    </row>
    <row r="275" ht="15.75" customHeight="1">
      <c r="M275" s="4"/>
      <c r="N275" s="5"/>
    </row>
    <row r="276" ht="15.75" customHeight="1">
      <c r="M276" s="4"/>
      <c r="N276" s="5"/>
    </row>
    <row r="277" ht="15.75" customHeight="1">
      <c r="M277" s="4"/>
      <c r="N277" s="5"/>
    </row>
    <row r="278" ht="15.75" customHeight="1">
      <c r="M278" s="4"/>
      <c r="N278" s="5"/>
    </row>
    <row r="279" ht="15.75" customHeight="1">
      <c r="M279" s="4"/>
      <c r="N279" s="5"/>
    </row>
    <row r="280" ht="15.75" customHeight="1">
      <c r="M280" s="4"/>
      <c r="N280" s="5"/>
    </row>
    <row r="281" ht="15.75" customHeight="1">
      <c r="M281" s="4"/>
      <c r="N281" s="5"/>
    </row>
    <row r="282" ht="15.75" customHeight="1">
      <c r="M282" s="4"/>
      <c r="N282" s="5"/>
    </row>
    <row r="283" ht="15.75" customHeight="1">
      <c r="M283" s="4"/>
      <c r="N283" s="5"/>
    </row>
    <row r="284" ht="15.75" customHeight="1">
      <c r="M284" s="4"/>
      <c r="N284" s="5"/>
    </row>
    <row r="285" ht="15.75" customHeight="1">
      <c r="M285" s="4"/>
      <c r="N285" s="5"/>
    </row>
    <row r="286" ht="15.75" customHeight="1">
      <c r="M286" s="4"/>
      <c r="N286" s="5"/>
    </row>
    <row r="287" ht="15.75" customHeight="1">
      <c r="M287" s="4"/>
      <c r="N287" s="5"/>
    </row>
    <row r="288" ht="15.75" customHeight="1">
      <c r="M288" s="4"/>
      <c r="N288" s="5"/>
    </row>
    <row r="289" ht="15.75" customHeight="1">
      <c r="M289" s="4"/>
      <c r="N289" s="5"/>
    </row>
    <row r="290" ht="15.75" customHeight="1">
      <c r="M290" s="4"/>
      <c r="N290" s="5"/>
    </row>
    <row r="291" ht="15.75" customHeight="1">
      <c r="M291" s="4"/>
      <c r="N291" s="5"/>
    </row>
    <row r="292" ht="15.75" customHeight="1">
      <c r="M292" s="4"/>
      <c r="N292" s="5"/>
    </row>
    <row r="293" ht="15.75" customHeight="1">
      <c r="M293" s="4"/>
      <c r="N293" s="5"/>
    </row>
    <row r="294" ht="15.75" customHeight="1">
      <c r="M294" s="4"/>
      <c r="N294" s="5"/>
    </row>
    <row r="295" ht="15.75" customHeight="1">
      <c r="M295" s="4"/>
      <c r="N295" s="5"/>
    </row>
    <row r="296" ht="15.75" customHeight="1">
      <c r="M296" s="4"/>
      <c r="N296" s="5"/>
    </row>
    <row r="297" ht="15.75" customHeight="1">
      <c r="M297" s="4"/>
      <c r="N297" s="5"/>
    </row>
    <row r="298" ht="15.75" customHeight="1">
      <c r="M298" s="4"/>
      <c r="N298" s="5"/>
    </row>
    <row r="299" ht="15.75" customHeight="1">
      <c r="M299" s="4"/>
      <c r="N299" s="5"/>
    </row>
    <row r="300" ht="15.75" customHeight="1">
      <c r="M300" s="4"/>
      <c r="N300" s="5"/>
    </row>
    <row r="301" ht="15.75" customHeight="1">
      <c r="M301" s="4"/>
      <c r="N301" s="5"/>
    </row>
    <row r="302" ht="15.75" customHeight="1">
      <c r="M302" s="4"/>
      <c r="N302" s="5"/>
    </row>
    <row r="303" ht="15.75" customHeight="1">
      <c r="M303" s="4"/>
      <c r="N303" s="5"/>
    </row>
    <row r="304" ht="15.75" customHeight="1">
      <c r="M304" s="4"/>
      <c r="N304" s="5"/>
    </row>
    <row r="305" ht="15.75" customHeight="1">
      <c r="M305" s="4"/>
      <c r="N305" s="5"/>
    </row>
    <row r="306" ht="15.75" customHeight="1">
      <c r="M306" s="4"/>
      <c r="N306" s="5"/>
    </row>
    <row r="307" ht="15.75" customHeight="1">
      <c r="M307" s="4"/>
      <c r="N307" s="5"/>
    </row>
    <row r="308" ht="15.75" customHeight="1">
      <c r="M308" s="4"/>
      <c r="N308" s="5"/>
    </row>
    <row r="309" ht="15.75" customHeight="1">
      <c r="M309" s="4"/>
      <c r="N309" s="5"/>
    </row>
    <row r="310" ht="15.75" customHeight="1">
      <c r="M310" s="4"/>
      <c r="N310" s="5"/>
    </row>
    <row r="311" ht="15.75" customHeight="1">
      <c r="M311" s="4"/>
      <c r="N311" s="5"/>
    </row>
    <row r="312" ht="15.75" customHeight="1">
      <c r="M312" s="4"/>
      <c r="N312" s="5"/>
    </row>
    <row r="313" ht="15.75" customHeight="1">
      <c r="M313" s="4"/>
      <c r="N313" s="5"/>
    </row>
    <row r="314" ht="15.75" customHeight="1">
      <c r="M314" s="4"/>
      <c r="N314" s="5"/>
    </row>
    <row r="315" ht="15.75" customHeight="1">
      <c r="M315" s="4"/>
      <c r="N315" s="5"/>
    </row>
    <row r="316" ht="15.75" customHeight="1">
      <c r="M316" s="4"/>
      <c r="N316" s="5"/>
    </row>
    <row r="317" ht="15.75" customHeight="1">
      <c r="M317" s="4"/>
      <c r="N317" s="5"/>
    </row>
    <row r="318" ht="15.75" customHeight="1">
      <c r="M318" s="4"/>
      <c r="N318" s="5"/>
    </row>
    <row r="319" ht="15.75" customHeight="1">
      <c r="M319" s="4"/>
      <c r="N319" s="5"/>
    </row>
    <row r="320" ht="15.75" customHeight="1">
      <c r="M320" s="4"/>
      <c r="N320" s="5"/>
    </row>
    <row r="321" ht="15.75" customHeight="1">
      <c r="M321" s="4"/>
      <c r="N321" s="5"/>
    </row>
    <row r="322" ht="15.75" customHeight="1">
      <c r="M322" s="4"/>
      <c r="N322" s="5"/>
    </row>
    <row r="323" ht="15.75" customHeight="1">
      <c r="M323" s="4"/>
      <c r="N323" s="5"/>
    </row>
    <row r="324" ht="15.75" customHeight="1">
      <c r="M324" s="4"/>
      <c r="N324" s="5"/>
    </row>
    <row r="325" ht="15.75" customHeight="1">
      <c r="M325" s="4"/>
      <c r="N325" s="5"/>
    </row>
    <row r="326" ht="15.75" customHeight="1">
      <c r="M326" s="4"/>
      <c r="N326" s="5"/>
    </row>
    <row r="327" ht="15.75" customHeight="1">
      <c r="M327" s="4"/>
      <c r="N327" s="5"/>
    </row>
    <row r="328" ht="15.75" customHeight="1">
      <c r="M328" s="4"/>
      <c r="N328" s="5"/>
    </row>
    <row r="329" ht="15.75" customHeight="1">
      <c r="M329" s="4"/>
      <c r="N329" s="5"/>
    </row>
    <row r="330" ht="15.75" customHeight="1">
      <c r="M330" s="4"/>
      <c r="N330" s="5"/>
    </row>
    <row r="331" ht="15.75" customHeight="1">
      <c r="M331" s="4"/>
      <c r="N331" s="5"/>
    </row>
    <row r="332" ht="15.75" customHeight="1">
      <c r="M332" s="4"/>
      <c r="N332" s="5"/>
    </row>
    <row r="333" ht="15.75" customHeight="1">
      <c r="M333" s="4"/>
      <c r="N333" s="5"/>
    </row>
    <row r="334" ht="15.75" customHeight="1">
      <c r="M334" s="4"/>
      <c r="N334" s="5"/>
    </row>
    <row r="335" ht="15.75" customHeight="1">
      <c r="M335" s="4"/>
      <c r="N335" s="5"/>
    </row>
    <row r="336" ht="15.75" customHeight="1">
      <c r="M336" s="4"/>
      <c r="N336" s="5"/>
    </row>
    <row r="337" ht="15.75" customHeight="1">
      <c r="M337" s="4"/>
      <c r="N337" s="5"/>
    </row>
    <row r="338" ht="15.75" customHeight="1">
      <c r="M338" s="4"/>
      <c r="N338" s="5"/>
    </row>
    <row r="339" ht="15.75" customHeight="1">
      <c r="M339" s="4"/>
      <c r="N339" s="5"/>
    </row>
    <row r="340" ht="15.75" customHeight="1">
      <c r="M340" s="4"/>
      <c r="N340" s="5"/>
    </row>
    <row r="341" ht="15.75" customHeight="1">
      <c r="M341" s="4"/>
      <c r="N341" s="5"/>
    </row>
    <row r="342" ht="15.75" customHeight="1">
      <c r="M342" s="4"/>
      <c r="N342" s="5"/>
    </row>
    <row r="343" ht="15.75" customHeight="1">
      <c r="M343" s="4"/>
      <c r="N343" s="5"/>
    </row>
    <row r="344" ht="15.75" customHeight="1">
      <c r="M344" s="4"/>
      <c r="N344" s="5"/>
    </row>
    <row r="345" ht="15.75" customHeight="1">
      <c r="M345" s="4"/>
      <c r="N345" s="5"/>
    </row>
    <row r="346" ht="15.75" customHeight="1">
      <c r="M346" s="4"/>
      <c r="N346" s="5"/>
    </row>
    <row r="347" ht="15.75" customHeight="1">
      <c r="M347" s="4"/>
      <c r="N347" s="5"/>
    </row>
    <row r="348" ht="15.75" customHeight="1">
      <c r="M348" s="4"/>
      <c r="N348" s="5"/>
    </row>
    <row r="349" ht="15.75" customHeight="1">
      <c r="M349" s="4"/>
      <c r="N349" s="5"/>
    </row>
    <row r="350" ht="15.75" customHeight="1">
      <c r="M350" s="4"/>
      <c r="N350" s="5"/>
    </row>
    <row r="351" ht="15.75" customHeight="1">
      <c r="M351" s="4"/>
      <c r="N351" s="5"/>
    </row>
    <row r="352" ht="15.75" customHeight="1">
      <c r="M352" s="4"/>
      <c r="N352" s="5"/>
    </row>
    <row r="353" ht="15.75" customHeight="1">
      <c r="M353" s="4"/>
      <c r="N353" s="5"/>
    </row>
    <row r="354" ht="15.75" customHeight="1">
      <c r="M354" s="4"/>
      <c r="N354" s="5"/>
    </row>
    <row r="355" ht="15.75" customHeight="1">
      <c r="M355" s="4"/>
      <c r="N355" s="5"/>
    </row>
    <row r="356" ht="15.75" customHeight="1">
      <c r="M356" s="4"/>
      <c r="N356" s="5"/>
    </row>
    <row r="357" ht="15.75" customHeight="1">
      <c r="M357" s="4"/>
      <c r="N357" s="5"/>
    </row>
    <row r="358" ht="15.75" customHeight="1">
      <c r="M358" s="4"/>
      <c r="N358" s="5"/>
    </row>
    <row r="359" ht="15.75" customHeight="1">
      <c r="M359" s="4"/>
      <c r="N359" s="5"/>
    </row>
    <row r="360" ht="15.75" customHeight="1">
      <c r="M360" s="4"/>
      <c r="N360" s="5"/>
    </row>
    <row r="361" ht="15.75" customHeight="1">
      <c r="M361" s="4"/>
      <c r="N361" s="5"/>
    </row>
    <row r="362" ht="15.75" customHeight="1">
      <c r="M362" s="4"/>
      <c r="N362" s="5"/>
    </row>
    <row r="363" ht="15.75" customHeight="1">
      <c r="M363" s="4"/>
      <c r="N363" s="5"/>
    </row>
    <row r="364" ht="15.75" customHeight="1">
      <c r="M364" s="4"/>
      <c r="N364" s="5"/>
    </row>
    <row r="365" ht="15.75" customHeight="1">
      <c r="M365" s="4"/>
      <c r="N365" s="5"/>
    </row>
    <row r="366" ht="15.75" customHeight="1">
      <c r="M366" s="4"/>
      <c r="N366" s="5"/>
    </row>
    <row r="367" ht="15.75" customHeight="1">
      <c r="M367" s="4"/>
      <c r="N367" s="5"/>
    </row>
    <row r="368" ht="15.75" customHeight="1">
      <c r="M368" s="4"/>
      <c r="N368" s="5"/>
    </row>
    <row r="369" ht="15.75" customHeight="1">
      <c r="M369" s="4"/>
      <c r="N369" s="5"/>
    </row>
    <row r="370" ht="15.75" customHeight="1">
      <c r="M370" s="4"/>
      <c r="N370" s="5"/>
    </row>
    <row r="371" ht="15.75" customHeight="1">
      <c r="M371" s="4"/>
      <c r="N371" s="5"/>
    </row>
    <row r="372" ht="15.75" customHeight="1">
      <c r="M372" s="4"/>
      <c r="N372" s="5"/>
    </row>
    <row r="373" ht="15.75" customHeight="1">
      <c r="M373" s="4"/>
      <c r="N373" s="5"/>
    </row>
    <row r="374" ht="15.75" customHeight="1">
      <c r="M374" s="4"/>
      <c r="N374" s="5"/>
    </row>
    <row r="375" ht="15.75" customHeight="1">
      <c r="M375" s="4"/>
      <c r="N375" s="5"/>
    </row>
    <row r="376" ht="15.75" customHeight="1">
      <c r="M376" s="4"/>
      <c r="N376" s="5"/>
    </row>
    <row r="377" ht="15.75" customHeight="1">
      <c r="M377" s="4"/>
      <c r="N377" s="5"/>
    </row>
    <row r="378" ht="15.75" customHeight="1">
      <c r="M378" s="4"/>
      <c r="N378" s="5"/>
    </row>
    <row r="379" ht="15.75" customHeight="1">
      <c r="M379" s="4"/>
      <c r="N379" s="5"/>
    </row>
    <row r="380" ht="15.75" customHeight="1">
      <c r="M380" s="4"/>
      <c r="N380" s="5"/>
    </row>
    <row r="381" ht="15.75" customHeight="1">
      <c r="M381" s="4"/>
      <c r="N381" s="5"/>
    </row>
    <row r="382" ht="15.75" customHeight="1">
      <c r="M382" s="4"/>
      <c r="N382" s="5"/>
    </row>
    <row r="383" ht="15.75" customHeight="1">
      <c r="M383" s="4"/>
      <c r="N383" s="5"/>
    </row>
    <row r="384" ht="15.75" customHeight="1">
      <c r="M384" s="4"/>
      <c r="N384" s="5"/>
    </row>
    <row r="385" ht="15.75" customHeight="1">
      <c r="M385" s="4"/>
      <c r="N385" s="5"/>
    </row>
    <row r="386" ht="15.75" customHeight="1">
      <c r="M386" s="4"/>
      <c r="N386" s="5"/>
    </row>
    <row r="387" ht="15.75" customHeight="1">
      <c r="M387" s="4"/>
      <c r="N387" s="5"/>
    </row>
    <row r="388" ht="15.75" customHeight="1">
      <c r="M388" s="4"/>
      <c r="N388" s="5"/>
    </row>
    <row r="389" ht="15.75" customHeight="1">
      <c r="M389" s="4"/>
      <c r="N389" s="5"/>
    </row>
    <row r="390" ht="15.75" customHeight="1">
      <c r="M390" s="4"/>
      <c r="N390" s="5"/>
    </row>
    <row r="391" ht="15.75" customHeight="1">
      <c r="M391" s="4"/>
      <c r="N391" s="5"/>
    </row>
    <row r="392" ht="15.75" customHeight="1">
      <c r="M392" s="4"/>
      <c r="N392" s="5"/>
    </row>
    <row r="393" ht="15.75" customHeight="1">
      <c r="M393" s="4"/>
      <c r="N393" s="5"/>
    </row>
    <row r="394" ht="15.75" customHeight="1">
      <c r="M394" s="4"/>
      <c r="N394" s="5"/>
    </row>
    <row r="395" ht="15.75" customHeight="1">
      <c r="M395" s="4"/>
      <c r="N395" s="5"/>
    </row>
    <row r="396" ht="15.75" customHeight="1">
      <c r="M396" s="4"/>
      <c r="N396" s="5"/>
    </row>
    <row r="397" ht="15.75" customHeight="1">
      <c r="M397" s="4"/>
      <c r="N397" s="5"/>
    </row>
    <row r="398" ht="15.75" customHeight="1">
      <c r="M398" s="4"/>
      <c r="N398" s="5"/>
    </row>
    <row r="399" ht="15.75" customHeight="1">
      <c r="M399" s="4"/>
      <c r="N399" s="5"/>
    </row>
    <row r="400" ht="15.75" customHeight="1">
      <c r="M400" s="4"/>
      <c r="N400" s="5"/>
    </row>
    <row r="401" ht="15.75" customHeight="1">
      <c r="M401" s="4"/>
      <c r="N401" s="5"/>
    </row>
    <row r="402" ht="15.75" customHeight="1">
      <c r="M402" s="4"/>
      <c r="N402" s="5"/>
    </row>
    <row r="403" ht="15.75" customHeight="1">
      <c r="M403" s="4"/>
      <c r="N403" s="5"/>
    </row>
    <row r="404" ht="15.75" customHeight="1">
      <c r="M404" s="4"/>
      <c r="N404" s="5"/>
    </row>
    <row r="405" ht="15.75" customHeight="1">
      <c r="M405" s="4"/>
      <c r="N405" s="5"/>
    </row>
    <row r="406" ht="15.75" customHeight="1">
      <c r="M406" s="4"/>
      <c r="N406" s="5"/>
    </row>
    <row r="407" ht="15.75" customHeight="1">
      <c r="M407" s="4"/>
      <c r="N407" s="5"/>
    </row>
    <row r="408" ht="15.75" customHeight="1">
      <c r="M408" s="4"/>
      <c r="N408" s="5"/>
    </row>
    <row r="409" ht="15.75" customHeight="1">
      <c r="M409" s="4"/>
      <c r="N409" s="5"/>
    </row>
    <row r="410" ht="15.75" customHeight="1">
      <c r="M410" s="4"/>
      <c r="N410" s="5"/>
    </row>
    <row r="411" ht="15.75" customHeight="1">
      <c r="M411" s="4"/>
      <c r="N411" s="5"/>
    </row>
    <row r="412" ht="15.75" customHeight="1">
      <c r="M412" s="4"/>
      <c r="N412" s="5"/>
    </row>
    <row r="413" ht="15.75" customHeight="1">
      <c r="M413" s="4"/>
      <c r="N413" s="5"/>
    </row>
    <row r="414" ht="15.75" customHeight="1">
      <c r="M414" s="4"/>
      <c r="N414" s="5"/>
    </row>
    <row r="415" ht="15.75" customHeight="1">
      <c r="M415" s="4"/>
      <c r="N415" s="5"/>
    </row>
    <row r="416" ht="15.75" customHeight="1">
      <c r="M416" s="4"/>
      <c r="N416" s="5"/>
    </row>
    <row r="417" ht="15.75" customHeight="1">
      <c r="M417" s="4"/>
      <c r="N417" s="5"/>
    </row>
    <row r="418" ht="15.75" customHeight="1">
      <c r="M418" s="4"/>
      <c r="N418" s="5"/>
    </row>
    <row r="419" ht="15.75" customHeight="1">
      <c r="M419" s="4"/>
      <c r="N419" s="5"/>
    </row>
    <row r="420" ht="15.75" customHeight="1">
      <c r="M420" s="4"/>
      <c r="N420" s="5"/>
    </row>
    <row r="421" ht="15.75" customHeight="1">
      <c r="M421" s="4"/>
      <c r="N421" s="5"/>
    </row>
    <row r="422" ht="15.75" customHeight="1">
      <c r="M422" s="4"/>
      <c r="N422" s="5"/>
    </row>
    <row r="423" ht="15.75" customHeight="1">
      <c r="M423" s="4"/>
      <c r="N423" s="5"/>
    </row>
    <row r="424" ht="15.75" customHeight="1">
      <c r="M424" s="4"/>
      <c r="N424" s="5"/>
    </row>
    <row r="425" ht="15.75" customHeight="1">
      <c r="M425" s="4"/>
      <c r="N425" s="5"/>
    </row>
    <row r="426" ht="15.75" customHeight="1">
      <c r="M426" s="4"/>
      <c r="N426" s="5"/>
    </row>
    <row r="427" ht="15.75" customHeight="1">
      <c r="M427" s="4"/>
      <c r="N427" s="5"/>
    </row>
    <row r="428" ht="15.75" customHeight="1">
      <c r="M428" s="4"/>
      <c r="N428" s="5"/>
    </row>
    <row r="429" ht="15.75" customHeight="1">
      <c r="M429" s="4"/>
      <c r="N429" s="5"/>
    </row>
    <row r="430" ht="15.75" customHeight="1">
      <c r="M430" s="4"/>
      <c r="N430" s="5"/>
    </row>
    <row r="431" ht="15.75" customHeight="1">
      <c r="M431" s="4"/>
      <c r="N431" s="5"/>
    </row>
    <row r="432" ht="15.75" customHeight="1">
      <c r="M432" s="4"/>
      <c r="N432" s="5"/>
    </row>
    <row r="433" ht="15.75" customHeight="1">
      <c r="M433" s="4"/>
      <c r="N433" s="5"/>
    </row>
    <row r="434" ht="15.75" customHeight="1">
      <c r="M434" s="4"/>
      <c r="N434" s="5"/>
    </row>
    <row r="435" ht="15.75" customHeight="1">
      <c r="M435" s="4"/>
      <c r="N435" s="5"/>
    </row>
    <row r="436" ht="15.75" customHeight="1">
      <c r="M436" s="4"/>
      <c r="N436" s="5"/>
    </row>
    <row r="437" ht="15.75" customHeight="1">
      <c r="M437" s="4"/>
      <c r="N437" s="5"/>
    </row>
    <row r="438" ht="15.75" customHeight="1">
      <c r="M438" s="4"/>
      <c r="N438" s="5"/>
    </row>
    <row r="439" ht="15.75" customHeight="1">
      <c r="M439" s="4"/>
      <c r="N439" s="5"/>
    </row>
    <row r="440" ht="15.75" customHeight="1">
      <c r="M440" s="4"/>
      <c r="N440" s="5"/>
    </row>
    <row r="441" ht="15.75" customHeight="1">
      <c r="M441" s="4"/>
      <c r="N441" s="5"/>
    </row>
    <row r="442" ht="15.75" customHeight="1">
      <c r="M442" s="4"/>
      <c r="N442" s="5"/>
    </row>
    <row r="443" ht="15.75" customHeight="1">
      <c r="M443" s="4"/>
      <c r="N443" s="5"/>
    </row>
    <row r="444" ht="15.75" customHeight="1">
      <c r="M444" s="4"/>
      <c r="N444" s="5"/>
    </row>
    <row r="445" ht="15.75" customHeight="1">
      <c r="M445" s="4"/>
      <c r="N445" s="5"/>
    </row>
    <row r="446" ht="15.75" customHeight="1">
      <c r="M446" s="4"/>
      <c r="N446" s="5"/>
    </row>
    <row r="447" ht="15.75" customHeight="1">
      <c r="M447" s="4"/>
      <c r="N447" s="5"/>
    </row>
    <row r="448" ht="15.75" customHeight="1">
      <c r="M448" s="4"/>
      <c r="N448" s="5"/>
    </row>
    <row r="449" ht="15.75" customHeight="1">
      <c r="M449" s="4"/>
      <c r="N449" s="5"/>
    </row>
    <row r="450" ht="15.75" customHeight="1">
      <c r="M450" s="4"/>
      <c r="N450" s="5"/>
    </row>
    <row r="451" ht="15.75" customHeight="1">
      <c r="M451" s="4"/>
      <c r="N451" s="5"/>
    </row>
    <row r="452" ht="15.75" customHeight="1">
      <c r="M452" s="4"/>
      <c r="N452" s="5"/>
    </row>
    <row r="453" ht="15.75" customHeight="1">
      <c r="M453" s="4"/>
      <c r="N453" s="5"/>
    </row>
    <row r="454" ht="15.75" customHeight="1">
      <c r="M454" s="4"/>
      <c r="N454" s="5"/>
    </row>
    <row r="455" ht="15.75" customHeight="1">
      <c r="M455" s="4"/>
      <c r="N455" s="5"/>
    </row>
    <row r="456" ht="15.75" customHeight="1">
      <c r="M456" s="4"/>
      <c r="N456" s="5"/>
    </row>
    <row r="457" ht="15.75" customHeight="1">
      <c r="M457" s="4"/>
      <c r="N457" s="5"/>
    </row>
    <row r="458" ht="15.75" customHeight="1">
      <c r="M458" s="4"/>
      <c r="N458" s="5"/>
    </row>
    <row r="459" ht="15.75" customHeight="1">
      <c r="M459" s="4"/>
      <c r="N459" s="5"/>
    </row>
    <row r="460" ht="15.75" customHeight="1">
      <c r="M460" s="4"/>
      <c r="N460" s="5"/>
    </row>
    <row r="461" ht="15.75" customHeight="1">
      <c r="M461" s="4"/>
      <c r="N461" s="5"/>
    </row>
    <row r="462" ht="15.75" customHeight="1">
      <c r="M462" s="4"/>
      <c r="N462" s="5"/>
    </row>
    <row r="463" ht="15.75" customHeight="1">
      <c r="M463" s="4"/>
      <c r="N463" s="5"/>
    </row>
    <row r="464" ht="15.75" customHeight="1">
      <c r="M464" s="4"/>
      <c r="N464" s="5"/>
    </row>
    <row r="465" ht="15.75" customHeight="1">
      <c r="M465" s="4"/>
      <c r="N465" s="5"/>
    </row>
    <row r="466" ht="15.75" customHeight="1">
      <c r="M466" s="4"/>
      <c r="N466" s="5"/>
    </row>
    <row r="467" ht="15.75" customHeight="1">
      <c r="M467" s="4"/>
      <c r="N467" s="5"/>
    </row>
    <row r="468" ht="15.75" customHeight="1">
      <c r="M468" s="4"/>
      <c r="N468" s="5"/>
    </row>
    <row r="469" ht="15.75" customHeight="1">
      <c r="M469" s="4"/>
      <c r="N469" s="5"/>
    </row>
    <row r="470" ht="15.75" customHeight="1">
      <c r="M470" s="4"/>
      <c r="N470" s="5"/>
    </row>
    <row r="471" ht="15.75" customHeight="1">
      <c r="M471" s="4"/>
      <c r="N471" s="5"/>
    </row>
    <row r="472" ht="15.75" customHeight="1">
      <c r="M472" s="4"/>
      <c r="N472" s="5"/>
    </row>
    <row r="473" ht="15.75" customHeight="1">
      <c r="M473" s="4"/>
      <c r="N473" s="5"/>
    </row>
    <row r="474" ht="15.75" customHeight="1">
      <c r="M474" s="4"/>
      <c r="N474" s="5"/>
    </row>
    <row r="475" ht="15.75" customHeight="1">
      <c r="M475" s="4"/>
      <c r="N475" s="5"/>
    </row>
    <row r="476" ht="15.75" customHeight="1">
      <c r="M476" s="4"/>
      <c r="N476" s="5"/>
    </row>
    <row r="477" ht="15.75" customHeight="1">
      <c r="M477" s="4"/>
      <c r="N477" s="5"/>
    </row>
    <row r="478" ht="15.75" customHeight="1">
      <c r="M478" s="4"/>
      <c r="N478" s="5"/>
    </row>
    <row r="479" ht="15.75" customHeight="1">
      <c r="M479" s="4"/>
      <c r="N479" s="5"/>
    </row>
    <row r="480" ht="15.75" customHeight="1">
      <c r="M480" s="4"/>
      <c r="N480" s="5"/>
    </row>
    <row r="481" ht="15.75" customHeight="1">
      <c r="M481" s="4"/>
      <c r="N481" s="5"/>
    </row>
    <row r="482" ht="15.75" customHeight="1">
      <c r="M482" s="4"/>
      <c r="N482" s="5"/>
    </row>
    <row r="483" ht="15.75" customHeight="1">
      <c r="M483" s="4"/>
      <c r="N483" s="5"/>
    </row>
    <row r="484" ht="15.75" customHeight="1">
      <c r="M484" s="4"/>
      <c r="N484" s="5"/>
    </row>
    <row r="485" ht="15.75" customHeight="1">
      <c r="M485" s="4"/>
      <c r="N485" s="5"/>
    </row>
    <row r="486" ht="15.75" customHeight="1">
      <c r="M486" s="4"/>
      <c r="N486" s="5"/>
    </row>
    <row r="487" ht="15.75" customHeight="1">
      <c r="M487" s="4"/>
      <c r="N487" s="5"/>
    </row>
    <row r="488" ht="15.75" customHeight="1">
      <c r="M488" s="4"/>
      <c r="N488" s="5"/>
    </row>
    <row r="489" ht="15.75" customHeight="1">
      <c r="M489" s="4"/>
      <c r="N489" s="5"/>
    </row>
    <row r="490" ht="15.75" customHeight="1">
      <c r="M490" s="4"/>
      <c r="N490" s="5"/>
    </row>
    <row r="491" ht="15.75" customHeight="1">
      <c r="M491" s="4"/>
      <c r="N491" s="5"/>
    </row>
    <row r="492" ht="15.75" customHeight="1">
      <c r="M492" s="4"/>
      <c r="N492" s="5"/>
    </row>
    <row r="493" ht="15.75" customHeight="1">
      <c r="M493" s="4"/>
      <c r="N493" s="5"/>
    </row>
    <row r="494" ht="15.75" customHeight="1">
      <c r="M494" s="4"/>
      <c r="N494" s="5"/>
    </row>
    <row r="495" ht="15.75" customHeight="1">
      <c r="M495" s="4"/>
      <c r="N495" s="5"/>
    </row>
    <row r="496" ht="15.75" customHeight="1">
      <c r="M496" s="4"/>
      <c r="N496" s="5"/>
    </row>
    <row r="497" ht="15.75" customHeight="1">
      <c r="M497" s="4"/>
      <c r="N497" s="5"/>
    </row>
    <row r="498" ht="15.75" customHeight="1">
      <c r="M498" s="4"/>
      <c r="N498" s="5"/>
    </row>
    <row r="499" ht="15.75" customHeight="1">
      <c r="M499" s="4"/>
      <c r="N499" s="5"/>
    </row>
    <row r="500" ht="15.75" customHeight="1">
      <c r="M500" s="4"/>
      <c r="N500" s="5"/>
    </row>
    <row r="501" ht="15.75" customHeight="1">
      <c r="M501" s="4"/>
      <c r="N501" s="5"/>
    </row>
    <row r="502" ht="15.75" customHeight="1">
      <c r="M502" s="4"/>
      <c r="N502" s="5"/>
    </row>
    <row r="503" ht="15.75" customHeight="1">
      <c r="M503" s="4"/>
      <c r="N503" s="5"/>
    </row>
    <row r="504" ht="15.75" customHeight="1">
      <c r="M504" s="4"/>
      <c r="N504" s="5"/>
    </row>
    <row r="505" ht="15.75" customHeight="1">
      <c r="M505" s="4"/>
      <c r="N505" s="5"/>
    </row>
    <row r="506" ht="15.75" customHeight="1">
      <c r="M506" s="4"/>
      <c r="N506" s="5"/>
    </row>
    <row r="507" ht="15.75" customHeight="1">
      <c r="M507" s="4"/>
      <c r="N507" s="5"/>
    </row>
    <row r="508" ht="15.75" customHeight="1">
      <c r="M508" s="4"/>
      <c r="N508" s="5"/>
    </row>
    <row r="509" ht="15.75" customHeight="1">
      <c r="M509" s="4"/>
      <c r="N509" s="5"/>
    </row>
    <row r="510" ht="15.75" customHeight="1">
      <c r="M510" s="4"/>
      <c r="N510" s="5"/>
    </row>
    <row r="511" ht="15.75" customHeight="1">
      <c r="M511" s="4"/>
      <c r="N511" s="5"/>
    </row>
    <row r="512" ht="15.75" customHeight="1">
      <c r="M512" s="4"/>
      <c r="N512" s="5"/>
    </row>
    <row r="513" ht="15.75" customHeight="1">
      <c r="M513" s="4"/>
      <c r="N513" s="5"/>
    </row>
    <row r="514" ht="15.75" customHeight="1">
      <c r="M514" s="4"/>
      <c r="N514" s="5"/>
    </row>
    <row r="515" ht="15.75" customHeight="1">
      <c r="M515" s="4"/>
      <c r="N515" s="5"/>
    </row>
    <row r="516" ht="15.75" customHeight="1">
      <c r="M516" s="4"/>
      <c r="N516" s="5"/>
    </row>
    <row r="517" ht="15.75" customHeight="1">
      <c r="M517" s="4"/>
      <c r="N517" s="5"/>
    </row>
    <row r="518" ht="15.75" customHeight="1">
      <c r="M518" s="4"/>
      <c r="N518" s="5"/>
    </row>
    <row r="519" ht="15.75" customHeight="1">
      <c r="M519" s="4"/>
      <c r="N519" s="5"/>
    </row>
    <row r="520" ht="15.75" customHeight="1">
      <c r="M520" s="4"/>
      <c r="N520" s="5"/>
    </row>
    <row r="521" ht="15.75" customHeight="1">
      <c r="M521" s="4"/>
      <c r="N521" s="5"/>
    </row>
    <row r="522" ht="15.75" customHeight="1">
      <c r="M522" s="4"/>
      <c r="N522" s="5"/>
    </row>
    <row r="523" ht="15.75" customHeight="1">
      <c r="M523" s="4"/>
      <c r="N523" s="5"/>
    </row>
    <row r="524" ht="15.75" customHeight="1">
      <c r="M524" s="4"/>
      <c r="N524" s="5"/>
    </row>
    <row r="525" ht="15.75" customHeight="1">
      <c r="M525" s="4"/>
      <c r="N525" s="5"/>
    </row>
    <row r="526" ht="15.75" customHeight="1">
      <c r="M526" s="4"/>
      <c r="N526" s="5"/>
    </row>
    <row r="527" ht="15.75" customHeight="1">
      <c r="M527" s="4"/>
      <c r="N527" s="5"/>
    </row>
    <row r="528" ht="15.75" customHeight="1">
      <c r="M528" s="4"/>
      <c r="N528" s="5"/>
    </row>
    <row r="529" ht="15.75" customHeight="1">
      <c r="M529" s="4"/>
      <c r="N529" s="5"/>
    </row>
    <row r="530" ht="15.75" customHeight="1">
      <c r="M530" s="4"/>
      <c r="N530" s="5"/>
    </row>
    <row r="531" ht="15.75" customHeight="1">
      <c r="M531" s="4"/>
      <c r="N531" s="5"/>
    </row>
    <row r="532" ht="15.75" customHeight="1">
      <c r="M532" s="4"/>
      <c r="N532" s="5"/>
    </row>
    <row r="533" ht="15.75" customHeight="1">
      <c r="M533" s="4"/>
      <c r="N533" s="5"/>
    </row>
    <row r="534" ht="15.75" customHeight="1">
      <c r="M534" s="4"/>
      <c r="N534" s="5"/>
    </row>
    <row r="535" ht="15.75" customHeight="1">
      <c r="M535" s="4"/>
      <c r="N535" s="5"/>
    </row>
    <row r="536" ht="15.75" customHeight="1">
      <c r="M536" s="4"/>
      <c r="N536" s="5"/>
    </row>
    <row r="537" ht="15.75" customHeight="1">
      <c r="M537" s="4"/>
      <c r="N537" s="5"/>
    </row>
    <row r="538" ht="15.75" customHeight="1">
      <c r="M538" s="4"/>
      <c r="N538" s="5"/>
    </row>
    <row r="539" ht="15.75" customHeight="1">
      <c r="M539" s="4"/>
      <c r="N539" s="5"/>
    </row>
    <row r="540" ht="15.75" customHeight="1">
      <c r="M540" s="4"/>
      <c r="N540" s="5"/>
    </row>
    <row r="541" ht="15.75" customHeight="1">
      <c r="M541" s="4"/>
      <c r="N541" s="5"/>
    </row>
    <row r="542" ht="15.75" customHeight="1">
      <c r="M542" s="4"/>
      <c r="N542" s="5"/>
    </row>
    <row r="543" ht="15.75" customHeight="1">
      <c r="M543" s="4"/>
      <c r="N543" s="5"/>
    </row>
    <row r="544" ht="15.75" customHeight="1">
      <c r="M544" s="4"/>
      <c r="N544" s="5"/>
    </row>
    <row r="545" ht="15.75" customHeight="1">
      <c r="M545" s="4"/>
      <c r="N545" s="5"/>
    </row>
    <row r="546" ht="15.75" customHeight="1">
      <c r="M546" s="4"/>
      <c r="N546" s="5"/>
    </row>
    <row r="547" ht="15.75" customHeight="1">
      <c r="M547" s="4"/>
      <c r="N547" s="5"/>
    </row>
    <row r="548" ht="15.75" customHeight="1">
      <c r="M548" s="4"/>
      <c r="N548" s="5"/>
    </row>
    <row r="549" ht="15.75" customHeight="1">
      <c r="M549" s="4"/>
      <c r="N549" s="5"/>
    </row>
    <row r="550" ht="15.75" customHeight="1">
      <c r="M550" s="4"/>
      <c r="N550" s="5"/>
    </row>
    <row r="551" ht="15.75" customHeight="1">
      <c r="M551" s="4"/>
      <c r="N551" s="5"/>
    </row>
    <row r="552" ht="15.75" customHeight="1">
      <c r="M552" s="4"/>
      <c r="N552" s="5"/>
    </row>
    <row r="553" ht="15.75" customHeight="1">
      <c r="M553" s="4"/>
      <c r="N553" s="5"/>
    </row>
    <row r="554" ht="15.75" customHeight="1">
      <c r="M554" s="4"/>
      <c r="N554" s="5"/>
    </row>
    <row r="555" ht="15.75" customHeight="1">
      <c r="M555" s="4"/>
      <c r="N555" s="5"/>
    </row>
    <row r="556" ht="15.75" customHeight="1">
      <c r="M556" s="4"/>
      <c r="N556" s="5"/>
    </row>
    <row r="557" ht="15.75" customHeight="1">
      <c r="M557" s="4"/>
      <c r="N557" s="5"/>
    </row>
    <row r="558" ht="15.75" customHeight="1">
      <c r="M558" s="4"/>
      <c r="N558" s="5"/>
    </row>
    <row r="559" ht="15.75" customHeight="1">
      <c r="M559" s="4"/>
      <c r="N559" s="5"/>
    </row>
    <row r="560" ht="15.75" customHeight="1">
      <c r="M560" s="4"/>
      <c r="N560" s="5"/>
    </row>
    <row r="561" ht="15.75" customHeight="1">
      <c r="M561" s="4"/>
      <c r="N561" s="5"/>
    </row>
    <row r="562" ht="15.75" customHeight="1">
      <c r="M562" s="4"/>
      <c r="N562" s="5"/>
    </row>
    <row r="563" ht="15.75" customHeight="1">
      <c r="M563" s="4"/>
      <c r="N563" s="5"/>
    </row>
    <row r="564" ht="15.75" customHeight="1">
      <c r="M564" s="4"/>
      <c r="N564" s="5"/>
    </row>
    <row r="565" ht="15.75" customHeight="1">
      <c r="M565" s="4"/>
      <c r="N565" s="5"/>
    </row>
    <row r="566" ht="15.75" customHeight="1">
      <c r="M566" s="4"/>
      <c r="N566" s="5"/>
    </row>
    <row r="567" ht="15.75" customHeight="1">
      <c r="M567" s="4"/>
      <c r="N567" s="5"/>
    </row>
    <row r="568" ht="15.75" customHeight="1">
      <c r="M568" s="4"/>
      <c r="N568" s="5"/>
    </row>
    <row r="569" ht="15.75" customHeight="1">
      <c r="M569" s="4"/>
      <c r="N569" s="5"/>
    </row>
    <row r="570" ht="15.75" customHeight="1">
      <c r="M570" s="4"/>
      <c r="N570" s="5"/>
    </row>
    <row r="571" ht="15.75" customHeight="1">
      <c r="M571" s="4"/>
      <c r="N571" s="5"/>
    </row>
    <row r="572" ht="15.75" customHeight="1">
      <c r="M572" s="4"/>
      <c r="N572" s="5"/>
    </row>
    <row r="573" ht="15.75" customHeight="1">
      <c r="M573" s="4"/>
      <c r="N573" s="5"/>
    </row>
    <row r="574" ht="15.75" customHeight="1">
      <c r="M574" s="4"/>
      <c r="N574" s="5"/>
    </row>
    <row r="575" ht="15.75" customHeight="1">
      <c r="M575" s="4"/>
      <c r="N575" s="5"/>
    </row>
    <row r="576" ht="15.75" customHeight="1">
      <c r="M576" s="4"/>
      <c r="N576" s="5"/>
    </row>
    <row r="577" ht="15.75" customHeight="1">
      <c r="M577" s="4"/>
      <c r="N577" s="5"/>
    </row>
    <row r="578" ht="15.75" customHeight="1">
      <c r="M578" s="4"/>
      <c r="N578" s="5"/>
    </row>
    <row r="579" ht="15.75" customHeight="1">
      <c r="M579" s="4"/>
      <c r="N579" s="5"/>
    </row>
    <row r="580" ht="15.75" customHeight="1">
      <c r="M580" s="4"/>
      <c r="N580" s="5"/>
    </row>
    <row r="581" ht="15.75" customHeight="1">
      <c r="M581" s="4"/>
      <c r="N581" s="5"/>
    </row>
    <row r="582" ht="15.75" customHeight="1">
      <c r="M582" s="4"/>
      <c r="N582" s="5"/>
    </row>
    <row r="583" ht="15.75" customHeight="1">
      <c r="M583" s="4"/>
      <c r="N583" s="5"/>
    </row>
    <row r="584" ht="15.75" customHeight="1">
      <c r="M584" s="4"/>
      <c r="N584" s="5"/>
    </row>
    <row r="585" ht="15.75" customHeight="1">
      <c r="M585" s="4"/>
      <c r="N585" s="5"/>
    </row>
    <row r="586" ht="15.75" customHeight="1">
      <c r="M586" s="4"/>
      <c r="N586" s="5"/>
    </row>
    <row r="587" ht="15.75" customHeight="1">
      <c r="M587" s="4"/>
      <c r="N587" s="5"/>
    </row>
    <row r="588" ht="15.75" customHeight="1">
      <c r="M588" s="4"/>
      <c r="N588" s="5"/>
    </row>
    <row r="589" ht="15.75" customHeight="1">
      <c r="M589" s="4"/>
      <c r="N589" s="5"/>
    </row>
    <row r="590" ht="15.75" customHeight="1">
      <c r="M590" s="4"/>
      <c r="N590" s="5"/>
    </row>
    <row r="591" ht="15.75" customHeight="1">
      <c r="M591" s="4"/>
      <c r="N591" s="5"/>
    </row>
    <row r="592" ht="15.75" customHeight="1">
      <c r="M592" s="4"/>
      <c r="N592" s="5"/>
    </row>
    <row r="593" ht="15.75" customHeight="1">
      <c r="M593" s="4"/>
      <c r="N593" s="5"/>
    </row>
    <row r="594" ht="15.75" customHeight="1">
      <c r="M594" s="4"/>
      <c r="N594" s="5"/>
    </row>
    <row r="595" ht="15.75" customHeight="1">
      <c r="M595" s="4"/>
      <c r="N595" s="5"/>
    </row>
    <row r="596" ht="15.75" customHeight="1">
      <c r="M596" s="4"/>
      <c r="N596" s="5"/>
    </row>
    <row r="597" ht="15.75" customHeight="1">
      <c r="M597" s="4"/>
      <c r="N597" s="5"/>
    </row>
    <row r="598" ht="15.75" customHeight="1">
      <c r="M598" s="4"/>
      <c r="N598" s="5"/>
    </row>
    <row r="599" ht="15.75" customHeight="1">
      <c r="M599" s="4"/>
      <c r="N599" s="5"/>
    </row>
    <row r="600" ht="15.75" customHeight="1">
      <c r="M600" s="4"/>
      <c r="N600" s="5"/>
    </row>
    <row r="601" ht="15.75" customHeight="1">
      <c r="M601" s="4"/>
      <c r="N601" s="5"/>
    </row>
    <row r="602" ht="15.75" customHeight="1">
      <c r="M602" s="4"/>
      <c r="N602" s="5"/>
    </row>
    <row r="603" ht="15.75" customHeight="1">
      <c r="M603" s="4"/>
      <c r="N603" s="5"/>
    </row>
    <row r="604" ht="15.75" customHeight="1">
      <c r="M604" s="4"/>
      <c r="N604" s="5"/>
    </row>
    <row r="605" ht="15.75" customHeight="1">
      <c r="M605" s="4"/>
      <c r="N605" s="5"/>
    </row>
    <row r="606" ht="15.75" customHeight="1">
      <c r="M606" s="4"/>
      <c r="N606" s="5"/>
    </row>
    <row r="607" ht="15.75" customHeight="1">
      <c r="M607" s="4"/>
      <c r="N607" s="5"/>
    </row>
    <row r="608" ht="15.75" customHeight="1">
      <c r="M608" s="4"/>
      <c r="N608" s="5"/>
    </row>
    <row r="609" ht="15.75" customHeight="1">
      <c r="M609" s="4"/>
      <c r="N609" s="5"/>
    </row>
    <row r="610" ht="15.75" customHeight="1">
      <c r="M610" s="4"/>
      <c r="N610" s="5"/>
    </row>
    <row r="611" ht="15.75" customHeight="1">
      <c r="M611" s="4"/>
      <c r="N611" s="5"/>
    </row>
    <row r="612" ht="15.75" customHeight="1">
      <c r="M612" s="4"/>
      <c r="N612" s="5"/>
    </row>
    <row r="613" ht="15.75" customHeight="1">
      <c r="M613" s="4"/>
      <c r="N613" s="5"/>
    </row>
    <row r="614" ht="15.75" customHeight="1">
      <c r="M614" s="4"/>
      <c r="N614" s="5"/>
    </row>
    <row r="615" ht="15.75" customHeight="1">
      <c r="M615" s="4"/>
      <c r="N615" s="5"/>
    </row>
    <row r="616" ht="15.75" customHeight="1">
      <c r="M616" s="4"/>
      <c r="N616" s="5"/>
    </row>
    <row r="617" ht="15.75" customHeight="1">
      <c r="M617" s="4"/>
      <c r="N617" s="5"/>
    </row>
    <row r="618" ht="15.75" customHeight="1">
      <c r="M618" s="4"/>
      <c r="N618" s="5"/>
    </row>
    <row r="619" ht="15.75" customHeight="1">
      <c r="M619" s="4"/>
      <c r="N619" s="5"/>
    </row>
    <row r="620" ht="15.75" customHeight="1">
      <c r="M620" s="4"/>
      <c r="N620" s="5"/>
    </row>
    <row r="621" ht="15.75" customHeight="1">
      <c r="M621" s="4"/>
      <c r="N621" s="5"/>
    </row>
    <row r="622" ht="15.75" customHeight="1">
      <c r="M622" s="4"/>
      <c r="N622" s="5"/>
    </row>
    <row r="623" ht="15.75" customHeight="1">
      <c r="M623" s="4"/>
      <c r="N623" s="5"/>
    </row>
    <row r="624" ht="15.75" customHeight="1">
      <c r="M624" s="4"/>
      <c r="N624" s="5"/>
    </row>
    <row r="625" ht="15.75" customHeight="1">
      <c r="M625" s="4"/>
      <c r="N625" s="5"/>
    </row>
    <row r="626" ht="15.75" customHeight="1">
      <c r="M626" s="4"/>
      <c r="N626" s="5"/>
    </row>
    <row r="627" ht="15.75" customHeight="1">
      <c r="M627" s="4"/>
      <c r="N627" s="5"/>
    </row>
    <row r="628" ht="15.75" customHeight="1">
      <c r="M628" s="4"/>
      <c r="N628" s="5"/>
    </row>
    <row r="629" ht="15.75" customHeight="1">
      <c r="M629" s="4"/>
      <c r="N629" s="5"/>
    </row>
    <row r="630" ht="15.75" customHeight="1">
      <c r="M630" s="4"/>
      <c r="N630" s="5"/>
    </row>
    <row r="631" ht="15.75" customHeight="1">
      <c r="M631" s="4"/>
      <c r="N631" s="5"/>
    </row>
    <row r="632" ht="15.75" customHeight="1">
      <c r="M632" s="4"/>
      <c r="N632" s="5"/>
    </row>
    <row r="633" ht="15.75" customHeight="1">
      <c r="M633" s="4"/>
      <c r="N633" s="5"/>
    </row>
    <row r="634" ht="15.75" customHeight="1">
      <c r="M634" s="4"/>
      <c r="N634" s="5"/>
    </row>
    <row r="635" ht="15.75" customHeight="1">
      <c r="M635" s="4"/>
      <c r="N635" s="5"/>
    </row>
    <row r="636" ht="15.75" customHeight="1">
      <c r="M636" s="4"/>
      <c r="N636" s="5"/>
    </row>
    <row r="637" ht="15.75" customHeight="1">
      <c r="M637" s="4"/>
      <c r="N637" s="5"/>
    </row>
    <row r="638" ht="15.75" customHeight="1">
      <c r="M638" s="4"/>
      <c r="N638" s="5"/>
    </row>
    <row r="639" ht="15.75" customHeight="1">
      <c r="M639" s="4"/>
      <c r="N639" s="5"/>
    </row>
    <row r="640" ht="15.75" customHeight="1">
      <c r="M640" s="4"/>
      <c r="N640" s="5"/>
    </row>
    <row r="641" ht="15.75" customHeight="1">
      <c r="M641" s="4"/>
      <c r="N641" s="5"/>
    </row>
    <row r="642" ht="15.75" customHeight="1">
      <c r="M642" s="4"/>
      <c r="N642" s="5"/>
    </row>
    <row r="643" ht="15.75" customHeight="1">
      <c r="M643" s="4"/>
      <c r="N643" s="5"/>
    </row>
    <row r="644" ht="15.75" customHeight="1">
      <c r="M644" s="4"/>
      <c r="N644" s="5"/>
    </row>
    <row r="645" ht="15.75" customHeight="1">
      <c r="M645" s="4"/>
      <c r="N645" s="5"/>
    </row>
    <row r="646" ht="15.75" customHeight="1">
      <c r="M646" s="4"/>
      <c r="N646" s="5"/>
    </row>
    <row r="647" ht="15.75" customHeight="1">
      <c r="M647" s="4"/>
      <c r="N647" s="5"/>
    </row>
    <row r="648" ht="15.75" customHeight="1">
      <c r="M648" s="4"/>
      <c r="N648" s="5"/>
    </row>
    <row r="649" ht="15.75" customHeight="1">
      <c r="M649" s="4"/>
      <c r="N649" s="5"/>
    </row>
    <row r="650" ht="15.75" customHeight="1">
      <c r="M650" s="4"/>
      <c r="N650" s="5"/>
    </row>
    <row r="651" ht="15.75" customHeight="1">
      <c r="M651" s="4"/>
      <c r="N651" s="5"/>
    </row>
    <row r="652" ht="15.75" customHeight="1">
      <c r="M652" s="4"/>
      <c r="N652" s="5"/>
    </row>
    <row r="653" ht="15.75" customHeight="1">
      <c r="M653" s="4"/>
      <c r="N653" s="5"/>
    </row>
    <row r="654" ht="15.75" customHeight="1">
      <c r="M654" s="4"/>
      <c r="N654" s="5"/>
    </row>
    <row r="655" ht="15.75" customHeight="1">
      <c r="M655" s="4"/>
      <c r="N655" s="5"/>
    </row>
    <row r="656" ht="15.75" customHeight="1">
      <c r="M656" s="4"/>
      <c r="N656" s="5"/>
    </row>
    <row r="657" ht="15.75" customHeight="1">
      <c r="M657" s="4"/>
      <c r="N657" s="5"/>
    </row>
    <row r="658" ht="15.75" customHeight="1">
      <c r="M658" s="4"/>
      <c r="N658" s="5"/>
    </row>
    <row r="659" ht="15.75" customHeight="1">
      <c r="M659" s="4"/>
      <c r="N659" s="5"/>
    </row>
    <row r="660" ht="15.75" customHeight="1">
      <c r="M660" s="4"/>
      <c r="N660" s="5"/>
    </row>
    <row r="661" ht="15.75" customHeight="1">
      <c r="M661" s="4"/>
      <c r="N661" s="5"/>
    </row>
    <row r="662" ht="15.75" customHeight="1">
      <c r="M662" s="4"/>
      <c r="N662" s="5"/>
    </row>
    <row r="663" ht="15.75" customHeight="1">
      <c r="M663" s="4"/>
      <c r="N663" s="5"/>
    </row>
    <row r="664" ht="15.75" customHeight="1">
      <c r="M664" s="4"/>
      <c r="N664" s="5"/>
    </row>
    <row r="665" ht="15.75" customHeight="1">
      <c r="M665" s="4"/>
      <c r="N665" s="5"/>
    </row>
    <row r="666" ht="15.75" customHeight="1">
      <c r="M666" s="4"/>
      <c r="N666" s="5"/>
    </row>
    <row r="667" ht="15.75" customHeight="1">
      <c r="M667" s="4"/>
      <c r="N667" s="5"/>
    </row>
    <row r="668" ht="15.75" customHeight="1">
      <c r="M668" s="4"/>
      <c r="N668" s="5"/>
    </row>
    <row r="669" ht="15.75" customHeight="1">
      <c r="M669" s="4"/>
      <c r="N669" s="5"/>
    </row>
    <row r="670" ht="15.75" customHeight="1">
      <c r="M670" s="4"/>
      <c r="N670" s="5"/>
    </row>
    <row r="671" ht="15.75" customHeight="1">
      <c r="M671" s="4"/>
      <c r="N671" s="5"/>
    </row>
    <row r="672" ht="15.75" customHeight="1">
      <c r="M672" s="4"/>
      <c r="N672" s="5"/>
    </row>
    <row r="673" ht="15.75" customHeight="1">
      <c r="M673" s="4"/>
      <c r="N673" s="5"/>
    </row>
    <row r="674" ht="15.75" customHeight="1">
      <c r="M674" s="4"/>
      <c r="N674" s="5"/>
    </row>
    <row r="675" ht="15.75" customHeight="1">
      <c r="M675" s="4"/>
      <c r="N675" s="5"/>
    </row>
    <row r="676" ht="15.75" customHeight="1">
      <c r="M676" s="4"/>
      <c r="N676" s="5"/>
    </row>
    <row r="677" ht="15.75" customHeight="1">
      <c r="M677" s="4"/>
      <c r="N677" s="5"/>
    </row>
    <row r="678" ht="15.75" customHeight="1">
      <c r="M678" s="4"/>
      <c r="N678" s="5"/>
    </row>
    <row r="679" ht="15.75" customHeight="1">
      <c r="M679" s="4"/>
      <c r="N679" s="5"/>
    </row>
    <row r="680" ht="15.75" customHeight="1">
      <c r="M680" s="4"/>
      <c r="N680" s="5"/>
    </row>
    <row r="681" ht="15.75" customHeight="1">
      <c r="M681" s="4"/>
      <c r="N681" s="5"/>
    </row>
    <row r="682" ht="15.75" customHeight="1">
      <c r="M682" s="4"/>
      <c r="N682" s="5"/>
    </row>
    <row r="683" ht="15.75" customHeight="1">
      <c r="M683" s="4"/>
      <c r="N683" s="5"/>
    </row>
    <row r="684" ht="15.75" customHeight="1">
      <c r="M684" s="4"/>
      <c r="N684" s="5"/>
    </row>
    <row r="685" ht="15.75" customHeight="1">
      <c r="M685" s="4"/>
      <c r="N685" s="5"/>
    </row>
    <row r="686" ht="15.75" customHeight="1">
      <c r="M686" s="4"/>
      <c r="N686" s="5"/>
    </row>
    <row r="687" ht="15.75" customHeight="1">
      <c r="M687" s="4"/>
      <c r="N687" s="5"/>
    </row>
    <row r="688" ht="15.75" customHeight="1">
      <c r="M688" s="4"/>
      <c r="N688" s="5"/>
    </row>
    <row r="689" ht="15.75" customHeight="1">
      <c r="M689" s="4"/>
      <c r="N689" s="5"/>
    </row>
    <row r="690" ht="15.75" customHeight="1">
      <c r="M690" s="4"/>
      <c r="N690" s="5"/>
    </row>
    <row r="691" ht="15.75" customHeight="1">
      <c r="M691" s="4"/>
      <c r="N691" s="5"/>
    </row>
    <row r="692" ht="15.75" customHeight="1">
      <c r="M692" s="4"/>
      <c r="N692" s="5"/>
    </row>
    <row r="693" ht="15.75" customHeight="1">
      <c r="M693" s="4"/>
      <c r="N693" s="5"/>
    </row>
    <row r="694" ht="15.75" customHeight="1">
      <c r="M694" s="4"/>
      <c r="N694" s="5"/>
    </row>
    <row r="695" ht="15.75" customHeight="1">
      <c r="M695" s="4"/>
      <c r="N695" s="5"/>
    </row>
    <row r="696" ht="15.75" customHeight="1">
      <c r="M696" s="4"/>
      <c r="N696" s="5"/>
    </row>
    <row r="697" ht="15.75" customHeight="1">
      <c r="M697" s="4"/>
      <c r="N697" s="5"/>
    </row>
    <row r="698" ht="15.75" customHeight="1">
      <c r="M698" s="4"/>
      <c r="N698" s="5"/>
    </row>
    <row r="699" ht="15.75" customHeight="1">
      <c r="M699" s="4"/>
      <c r="N699" s="5"/>
    </row>
    <row r="700" ht="15.75" customHeight="1">
      <c r="M700" s="4"/>
      <c r="N700" s="5"/>
    </row>
    <row r="701" ht="15.75" customHeight="1">
      <c r="M701" s="4"/>
      <c r="N701" s="5"/>
    </row>
    <row r="702" ht="15.75" customHeight="1">
      <c r="M702" s="4"/>
      <c r="N702" s="5"/>
    </row>
    <row r="703" ht="15.75" customHeight="1">
      <c r="M703" s="4"/>
      <c r="N703" s="5"/>
    </row>
    <row r="704" ht="15.75" customHeight="1">
      <c r="M704" s="4"/>
      <c r="N704" s="5"/>
    </row>
    <row r="705" ht="15.75" customHeight="1">
      <c r="M705" s="4"/>
      <c r="N705" s="5"/>
    </row>
    <row r="706" ht="15.75" customHeight="1">
      <c r="M706" s="4"/>
      <c r="N706" s="5"/>
    </row>
    <row r="707" ht="15.75" customHeight="1">
      <c r="M707" s="4"/>
      <c r="N707" s="5"/>
    </row>
    <row r="708" ht="15.75" customHeight="1">
      <c r="M708" s="4"/>
      <c r="N708" s="5"/>
    </row>
    <row r="709" ht="15.75" customHeight="1">
      <c r="M709" s="4"/>
      <c r="N709" s="5"/>
    </row>
    <row r="710" ht="15.75" customHeight="1">
      <c r="M710" s="4"/>
      <c r="N710" s="5"/>
    </row>
    <row r="711" ht="15.75" customHeight="1">
      <c r="M711" s="4"/>
      <c r="N711" s="5"/>
    </row>
    <row r="712" ht="15.75" customHeight="1">
      <c r="M712" s="4"/>
      <c r="N712" s="5"/>
    </row>
    <row r="713" ht="15.75" customHeight="1">
      <c r="M713" s="4"/>
      <c r="N713" s="5"/>
    </row>
    <row r="714" ht="15.75" customHeight="1">
      <c r="M714" s="4"/>
      <c r="N714" s="5"/>
    </row>
    <row r="715" ht="15.75" customHeight="1">
      <c r="M715" s="4"/>
      <c r="N715" s="5"/>
    </row>
    <row r="716" ht="15.75" customHeight="1">
      <c r="M716" s="4"/>
      <c r="N716" s="5"/>
    </row>
    <row r="717" ht="15.75" customHeight="1">
      <c r="M717" s="4"/>
      <c r="N717" s="5"/>
    </row>
    <row r="718" ht="15.75" customHeight="1">
      <c r="M718" s="4"/>
      <c r="N718" s="5"/>
    </row>
    <row r="719" ht="15.75" customHeight="1">
      <c r="M719" s="4"/>
      <c r="N719" s="5"/>
    </row>
    <row r="720" ht="15.75" customHeight="1">
      <c r="M720" s="4"/>
      <c r="N720" s="5"/>
    </row>
    <row r="721" ht="15.75" customHeight="1">
      <c r="M721" s="4"/>
      <c r="N721" s="5"/>
    </row>
    <row r="722" ht="15.75" customHeight="1">
      <c r="M722" s="4"/>
      <c r="N722" s="5"/>
    </row>
    <row r="723" ht="15.75" customHeight="1">
      <c r="M723" s="4"/>
      <c r="N723" s="5"/>
    </row>
    <row r="724" ht="15.75" customHeight="1">
      <c r="M724" s="4"/>
      <c r="N724" s="5"/>
    </row>
    <row r="725" ht="15.75" customHeight="1">
      <c r="M725" s="4"/>
      <c r="N725" s="5"/>
    </row>
    <row r="726" ht="15.75" customHeight="1">
      <c r="M726" s="4"/>
      <c r="N726" s="5"/>
    </row>
    <row r="727" ht="15.75" customHeight="1">
      <c r="M727" s="4"/>
      <c r="N727" s="5"/>
    </row>
    <row r="728" ht="15.75" customHeight="1">
      <c r="M728" s="4"/>
      <c r="N728" s="5"/>
    </row>
    <row r="729" ht="15.75" customHeight="1">
      <c r="M729" s="4"/>
      <c r="N729" s="5"/>
    </row>
    <row r="730" ht="15.75" customHeight="1">
      <c r="M730" s="4"/>
      <c r="N730" s="5"/>
    </row>
    <row r="731" ht="15.75" customHeight="1">
      <c r="M731" s="4"/>
      <c r="N731" s="5"/>
    </row>
    <row r="732" ht="15.75" customHeight="1">
      <c r="M732" s="4"/>
      <c r="N732" s="5"/>
    </row>
    <row r="733" ht="15.75" customHeight="1">
      <c r="M733" s="4"/>
      <c r="N733" s="5"/>
    </row>
    <row r="734" ht="15.75" customHeight="1">
      <c r="M734" s="4"/>
      <c r="N734" s="5"/>
    </row>
    <row r="735" ht="15.75" customHeight="1">
      <c r="M735" s="4"/>
      <c r="N735" s="5"/>
    </row>
    <row r="736" ht="15.75" customHeight="1">
      <c r="M736" s="4"/>
      <c r="N736" s="5"/>
    </row>
    <row r="737" ht="15.75" customHeight="1">
      <c r="M737" s="4"/>
      <c r="N737" s="5"/>
    </row>
    <row r="738" ht="15.75" customHeight="1">
      <c r="M738" s="4"/>
      <c r="N738" s="5"/>
    </row>
    <row r="739" ht="15.75" customHeight="1">
      <c r="M739" s="4"/>
      <c r="N739" s="5"/>
    </row>
    <row r="740" ht="15.75" customHeight="1">
      <c r="M740" s="4"/>
      <c r="N740" s="5"/>
    </row>
    <row r="741" ht="15.75" customHeight="1">
      <c r="M741" s="4"/>
      <c r="N741" s="5"/>
    </row>
    <row r="742" ht="15.75" customHeight="1">
      <c r="M742" s="4"/>
      <c r="N742" s="5"/>
    </row>
    <row r="743" ht="15.75" customHeight="1">
      <c r="M743" s="4"/>
      <c r="N743" s="5"/>
    </row>
    <row r="744" ht="15.75" customHeight="1">
      <c r="M744" s="4"/>
      <c r="N744" s="5"/>
    </row>
    <row r="745" ht="15.75" customHeight="1">
      <c r="M745" s="4"/>
      <c r="N745" s="5"/>
    </row>
    <row r="746" ht="15.75" customHeight="1">
      <c r="M746" s="4"/>
      <c r="N746" s="5"/>
    </row>
    <row r="747" ht="15.75" customHeight="1">
      <c r="M747" s="4"/>
      <c r="N747" s="5"/>
    </row>
    <row r="748" ht="15.75" customHeight="1">
      <c r="M748" s="4"/>
      <c r="N748" s="5"/>
    </row>
    <row r="749" ht="15.75" customHeight="1">
      <c r="M749" s="4"/>
      <c r="N749" s="5"/>
    </row>
    <row r="750" ht="15.75" customHeight="1">
      <c r="M750" s="4"/>
      <c r="N750" s="5"/>
    </row>
    <row r="751" ht="15.75" customHeight="1">
      <c r="M751" s="4"/>
      <c r="N751" s="5"/>
    </row>
    <row r="752" ht="15.75" customHeight="1">
      <c r="M752" s="4"/>
      <c r="N752" s="5"/>
    </row>
    <row r="753" ht="15.75" customHeight="1">
      <c r="M753" s="4"/>
      <c r="N753" s="5"/>
    </row>
    <row r="754" ht="15.75" customHeight="1">
      <c r="M754" s="4"/>
      <c r="N754" s="5"/>
    </row>
    <row r="755" ht="15.75" customHeight="1">
      <c r="M755" s="4"/>
      <c r="N755" s="5"/>
    </row>
    <row r="756" ht="15.75" customHeight="1">
      <c r="M756" s="4"/>
      <c r="N756" s="5"/>
    </row>
    <row r="757" ht="15.75" customHeight="1">
      <c r="M757" s="4"/>
      <c r="N757" s="5"/>
    </row>
    <row r="758" ht="15.75" customHeight="1">
      <c r="M758" s="4"/>
      <c r="N758" s="5"/>
    </row>
    <row r="759" ht="15.75" customHeight="1">
      <c r="M759" s="4"/>
      <c r="N759" s="5"/>
    </row>
    <row r="760" ht="15.75" customHeight="1">
      <c r="M760" s="4"/>
      <c r="N760" s="5"/>
    </row>
    <row r="761" ht="15.75" customHeight="1">
      <c r="M761" s="4"/>
      <c r="N761" s="5"/>
    </row>
    <row r="762" ht="15.75" customHeight="1">
      <c r="M762" s="4"/>
      <c r="N762" s="5"/>
    </row>
    <row r="763" ht="15.75" customHeight="1">
      <c r="M763" s="4"/>
      <c r="N763" s="5"/>
    </row>
    <row r="764" ht="15.75" customHeight="1">
      <c r="M764" s="4"/>
      <c r="N764" s="5"/>
    </row>
    <row r="765" ht="15.75" customHeight="1">
      <c r="M765" s="4"/>
      <c r="N765" s="5"/>
    </row>
    <row r="766" ht="15.75" customHeight="1">
      <c r="M766" s="4"/>
      <c r="N766" s="5"/>
    </row>
    <row r="767" ht="15.75" customHeight="1">
      <c r="M767" s="4"/>
      <c r="N767" s="5"/>
    </row>
    <row r="768" ht="15.75" customHeight="1">
      <c r="M768" s="4"/>
      <c r="N768" s="5"/>
    </row>
    <row r="769" ht="15.75" customHeight="1">
      <c r="M769" s="4"/>
      <c r="N769" s="5"/>
    </row>
    <row r="770" ht="15.75" customHeight="1">
      <c r="M770" s="4"/>
      <c r="N770" s="5"/>
    </row>
    <row r="771" ht="15.75" customHeight="1">
      <c r="M771" s="4"/>
      <c r="N771" s="5"/>
    </row>
    <row r="772" ht="15.75" customHeight="1">
      <c r="M772" s="4"/>
      <c r="N772" s="5"/>
    </row>
    <row r="773" ht="15.75" customHeight="1">
      <c r="M773" s="4"/>
      <c r="N773" s="5"/>
    </row>
    <row r="774" ht="15.75" customHeight="1">
      <c r="M774" s="4"/>
      <c r="N774" s="5"/>
    </row>
    <row r="775" ht="15.75" customHeight="1">
      <c r="M775" s="4"/>
      <c r="N775" s="5"/>
    </row>
    <row r="776" ht="15.75" customHeight="1">
      <c r="M776" s="4"/>
      <c r="N776" s="5"/>
    </row>
    <row r="777" ht="15.75" customHeight="1">
      <c r="M777" s="4"/>
      <c r="N777" s="5"/>
    </row>
    <row r="778" ht="15.75" customHeight="1">
      <c r="M778" s="4"/>
      <c r="N778" s="5"/>
    </row>
    <row r="779" ht="15.75" customHeight="1">
      <c r="M779" s="4"/>
      <c r="N779" s="5"/>
    </row>
    <row r="780" ht="15.75" customHeight="1">
      <c r="M780" s="4"/>
      <c r="N780" s="5"/>
    </row>
    <row r="781" ht="15.75" customHeight="1">
      <c r="M781" s="4"/>
      <c r="N781" s="5"/>
    </row>
    <row r="782" ht="15.75" customHeight="1">
      <c r="M782" s="4"/>
      <c r="N782" s="5"/>
    </row>
    <row r="783" ht="15.75" customHeight="1">
      <c r="M783" s="4"/>
      <c r="N783" s="5"/>
    </row>
    <row r="784" ht="15.75" customHeight="1">
      <c r="M784" s="4"/>
      <c r="N784" s="5"/>
    </row>
    <row r="785" ht="15.75" customHeight="1">
      <c r="M785" s="4"/>
      <c r="N785" s="5"/>
    </row>
    <row r="786" ht="15.75" customHeight="1">
      <c r="M786" s="4"/>
      <c r="N786" s="5"/>
    </row>
    <row r="787" ht="15.75" customHeight="1">
      <c r="M787" s="4"/>
      <c r="N787" s="5"/>
    </row>
    <row r="788" ht="15.75" customHeight="1">
      <c r="M788" s="4"/>
      <c r="N788" s="5"/>
    </row>
    <row r="789" ht="15.75" customHeight="1">
      <c r="M789" s="4"/>
      <c r="N789" s="5"/>
    </row>
    <row r="790" ht="15.75" customHeight="1">
      <c r="M790" s="4"/>
      <c r="N790" s="5"/>
    </row>
    <row r="791" ht="15.75" customHeight="1">
      <c r="M791" s="4"/>
      <c r="N791" s="5"/>
    </row>
    <row r="792" ht="15.75" customHeight="1">
      <c r="M792" s="4"/>
      <c r="N792" s="5"/>
    </row>
    <row r="793" ht="15.75" customHeight="1">
      <c r="M793" s="4"/>
      <c r="N793" s="5"/>
    </row>
    <row r="794" ht="15.75" customHeight="1">
      <c r="M794" s="4"/>
      <c r="N794" s="5"/>
    </row>
    <row r="795" ht="15.75" customHeight="1">
      <c r="M795" s="4"/>
      <c r="N795" s="5"/>
    </row>
    <row r="796" ht="15.75" customHeight="1">
      <c r="M796" s="4"/>
      <c r="N796" s="5"/>
    </row>
    <row r="797" ht="15.75" customHeight="1">
      <c r="M797" s="4"/>
      <c r="N797" s="5"/>
    </row>
    <row r="798" ht="15.75" customHeight="1">
      <c r="M798" s="4"/>
      <c r="N798" s="5"/>
    </row>
    <row r="799" ht="15.75" customHeight="1">
      <c r="M799" s="4"/>
      <c r="N799" s="5"/>
    </row>
    <row r="800" ht="15.75" customHeight="1">
      <c r="M800" s="4"/>
      <c r="N800" s="5"/>
    </row>
    <row r="801" ht="15.75" customHeight="1">
      <c r="M801" s="4"/>
      <c r="N801" s="5"/>
    </row>
    <row r="802" ht="15.75" customHeight="1">
      <c r="M802" s="4"/>
      <c r="N802" s="5"/>
    </row>
    <row r="803" ht="15.75" customHeight="1">
      <c r="M803" s="4"/>
      <c r="N803" s="5"/>
    </row>
    <row r="804" ht="15.75" customHeight="1">
      <c r="M804" s="4"/>
      <c r="N804" s="5"/>
    </row>
    <row r="805" ht="15.75" customHeight="1">
      <c r="M805" s="4"/>
      <c r="N805" s="5"/>
    </row>
    <row r="806" ht="15.75" customHeight="1">
      <c r="M806" s="4"/>
      <c r="N806" s="5"/>
    </row>
    <row r="807" ht="15.75" customHeight="1">
      <c r="M807" s="4"/>
      <c r="N807" s="5"/>
    </row>
    <row r="808" ht="15.75" customHeight="1">
      <c r="M808" s="4"/>
      <c r="N808" s="5"/>
    </row>
    <row r="809" ht="15.75" customHeight="1">
      <c r="M809" s="4"/>
      <c r="N809" s="5"/>
    </row>
    <row r="810" ht="15.75" customHeight="1">
      <c r="M810" s="4"/>
      <c r="N810" s="5"/>
    </row>
    <row r="811" ht="15.75" customHeight="1">
      <c r="M811" s="4"/>
      <c r="N811" s="5"/>
    </row>
    <row r="812" ht="15.75" customHeight="1">
      <c r="M812" s="4"/>
      <c r="N812" s="5"/>
    </row>
    <row r="813" ht="15.75" customHeight="1">
      <c r="M813" s="4"/>
      <c r="N813" s="5"/>
    </row>
    <row r="814" ht="15.75" customHeight="1">
      <c r="M814" s="4"/>
      <c r="N814" s="5"/>
    </row>
    <row r="815" ht="15.75" customHeight="1">
      <c r="M815" s="4"/>
      <c r="N815" s="5"/>
    </row>
    <row r="816" ht="15.75" customHeight="1">
      <c r="M816" s="4"/>
      <c r="N816" s="5"/>
    </row>
    <row r="817" ht="15.75" customHeight="1">
      <c r="M817" s="4"/>
      <c r="N817" s="5"/>
    </row>
    <row r="818" ht="15.75" customHeight="1">
      <c r="M818" s="4"/>
      <c r="N818" s="5"/>
    </row>
    <row r="819" ht="15.75" customHeight="1">
      <c r="M819" s="4"/>
      <c r="N819" s="5"/>
    </row>
    <row r="820" ht="15.75" customHeight="1">
      <c r="M820" s="4"/>
      <c r="N820" s="5"/>
    </row>
    <row r="821" ht="15.75" customHeight="1">
      <c r="M821" s="4"/>
      <c r="N821" s="5"/>
    </row>
    <row r="822" ht="15.75" customHeight="1">
      <c r="M822" s="4"/>
      <c r="N822" s="5"/>
    </row>
    <row r="823" ht="15.75" customHeight="1">
      <c r="M823" s="4"/>
      <c r="N823" s="5"/>
    </row>
    <row r="824" ht="15.75" customHeight="1">
      <c r="M824" s="4"/>
      <c r="N824" s="5"/>
    </row>
    <row r="825" ht="15.75" customHeight="1">
      <c r="M825" s="4"/>
      <c r="N825" s="5"/>
    </row>
    <row r="826" ht="15.75" customHeight="1">
      <c r="M826" s="4"/>
      <c r="N826" s="5"/>
    </row>
    <row r="827" ht="15.75" customHeight="1">
      <c r="M827" s="4"/>
      <c r="N827" s="5"/>
    </row>
    <row r="828" ht="15.75" customHeight="1">
      <c r="M828" s="4"/>
      <c r="N828" s="5"/>
    </row>
    <row r="829" ht="15.75" customHeight="1">
      <c r="M829" s="4"/>
      <c r="N829" s="5"/>
    </row>
    <row r="830" ht="15.75" customHeight="1">
      <c r="M830" s="4"/>
      <c r="N830" s="5"/>
    </row>
    <row r="831" ht="15.75" customHeight="1">
      <c r="M831" s="4"/>
      <c r="N831" s="5"/>
    </row>
    <row r="832" ht="15.75" customHeight="1">
      <c r="M832" s="4"/>
      <c r="N832" s="5"/>
    </row>
    <row r="833" ht="15.75" customHeight="1">
      <c r="M833" s="4"/>
      <c r="N833" s="5"/>
    </row>
    <row r="834" ht="15.75" customHeight="1">
      <c r="M834" s="4"/>
      <c r="N834" s="5"/>
    </row>
    <row r="835" ht="15.75" customHeight="1">
      <c r="M835" s="4"/>
      <c r="N835" s="5"/>
    </row>
    <row r="836" ht="15.75" customHeight="1">
      <c r="M836" s="4"/>
      <c r="N836" s="5"/>
    </row>
    <row r="837" ht="15.75" customHeight="1">
      <c r="M837" s="4"/>
      <c r="N837" s="5"/>
    </row>
    <row r="838" ht="15.75" customHeight="1">
      <c r="M838" s="4"/>
      <c r="N838" s="5"/>
    </row>
    <row r="839" ht="15.75" customHeight="1">
      <c r="M839" s="4"/>
      <c r="N839" s="5"/>
    </row>
    <row r="840" ht="15.75" customHeight="1">
      <c r="M840" s="4"/>
      <c r="N840" s="5"/>
    </row>
    <row r="841" ht="15.75" customHeight="1">
      <c r="M841" s="4"/>
      <c r="N841" s="5"/>
    </row>
    <row r="842" ht="15.75" customHeight="1">
      <c r="M842" s="4"/>
      <c r="N842" s="5"/>
    </row>
    <row r="843" ht="15.75" customHeight="1">
      <c r="M843" s="4"/>
      <c r="N843" s="5"/>
    </row>
    <row r="844" ht="15.75" customHeight="1">
      <c r="M844" s="4"/>
      <c r="N844" s="5"/>
    </row>
    <row r="845" ht="15.75" customHeight="1">
      <c r="M845" s="4"/>
      <c r="N845" s="5"/>
    </row>
    <row r="846" ht="15.75" customHeight="1">
      <c r="M846" s="4"/>
      <c r="N846" s="5"/>
    </row>
    <row r="847" ht="15.75" customHeight="1">
      <c r="M847" s="4"/>
      <c r="N847" s="5"/>
    </row>
    <row r="848" ht="15.75" customHeight="1">
      <c r="M848" s="4"/>
      <c r="N848" s="5"/>
    </row>
    <row r="849" ht="15.75" customHeight="1">
      <c r="M849" s="4"/>
      <c r="N849" s="5"/>
    </row>
    <row r="850" ht="15.75" customHeight="1">
      <c r="M850" s="4"/>
      <c r="N850" s="5"/>
    </row>
    <row r="851" ht="15.75" customHeight="1">
      <c r="M851" s="4"/>
      <c r="N851" s="5"/>
    </row>
    <row r="852" ht="15.75" customHeight="1">
      <c r="M852" s="4"/>
      <c r="N852" s="5"/>
    </row>
    <row r="853" ht="15.75" customHeight="1">
      <c r="M853" s="4"/>
      <c r="N853" s="5"/>
    </row>
    <row r="854" ht="15.75" customHeight="1">
      <c r="M854" s="4"/>
      <c r="N854" s="5"/>
    </row>
    <row r="855" ht="15.75" customHeight="1">
      <c r="M855" s="4"/>
      <c r="N855" s="5"/>
    </row>
    <row r="856" ht="15.75" customHeight="1">
      <c r="M856" s="4"/>
      <c r="N856" s="5"/>
    </row>
    <row r="857" ht="15.75" customHeight="1">
      <c r="M857" s="4"/>
      <c r="N857" s="5"/>
    </row>
    <row r="858" ht="15.75" customHeight="1">
      <c r="M858" s="4"/>
      <c r="N858" s="5"/>
    </row>
    <row r="859" ht="15.75" customHeight="1">
      <c r="M859" s="4"/>
      <c r="N859" s="5"/>
    </row>
    <row r="860" ht="15.75" customHeight="1">
      <c r="M860" s="4"/>
      <c r="N860" s="5"/>
    </row>
    <row r="861" ht="15.75" customHeight="1">
      <c r="M861" s="4"/>
      <c r="N861" s="5"/>
    </row>
    <row r="862" ht="15.75" customHeight="1">
      <c r="M862" s="4"/>
      <c r="N862" s="5"/>
    </row>
    <row r="863" ht="15.75" customHeight="1">
      <c r="M863" s="4"/>
      <c r="N863" s="5"/>
    </row>
    <row r="864" ht="15.75" customHeight="1">
      <c r="M864" s="4"/>
      <c r="N864" s="5"/>
    </row>
    <row r="865" ht="15.75" customHeight="1">
      <c r="M865" s="4"/>
      <c r="N865" s="5"/>
    </row>
    <row r="866" ht="15.75" customHeight="1">
      <c r="M866" s="4"/>
      <c r="N866" s="5"/>
    </row>
    <row r="867" ht="15.75" customHeight="1">
      <c r="M867" s="4"/>
      <c r="N867" s="5"/>
    </row>
    <row r="868" ht="15.75" customHeight="1">
      <c r="M868" s="4"/>
      <c r="N868" s="5"/>
    </row>
    <row r="869" ht="15.75" customHeight="1">
      <c r="M869" s="4"/>
      <c r="N869" s="5"/>
    </row>
    <row r="870" ht="15.75" customHeight="1">
      <c r="M870" s="4"/>
      <c r="N870" s="5"/>
    </row>
    <row r="871" ht="15.75" customHeight="1">
      <c r="M871" s="4"/>
      <c r="N871" s="5"/>
    </row>
    <row r="872" ht="15.75" customHeight="1">
      <c r="M872" s="4"/>
      <c r="N872" s="5"/>
    </row>
    <row r="873" ht="15.75" customHeight="1">
      <c r="M873" s="4"/>
      <c r="N873" s="5"/>
    </row>
    <row r="874" ht="15.75" customHeight="1">
      <c r="M874" s="4"/>
      <c r="N874" s="5"/>
    </row>
    <row r="875" ht="15.75" customHeight="1">
      <c r="M875" s="4"/>
      <c r="N875" s="5"/>
    </row>
    <row r="876" ht="15.75" customHeight="1">
      <c r="M876" s="4"/>
      <c r="N876" s="5"/>
    </row>
    <row r="877" ht="15.75" customHeight="1">
      <c r="M877" s="4"/>
      <c r="N877" s="5"/>
    </row>
    <row r="878" ht="15.75" customHeight="1">
      <c r="M878" s="4"/>
      <c r="N878" s="5"/>
    </row>
    <row r="879" ht="15.75" customHeight="1">
      <c r="M879" s="4"/>
      <c r="N879" s="5"/>
    </row>
    <row r="880" ht="15.75" customHeight="1">
      <c r="M880" s="4"/>
      <c r="N880" s="5"/>
    </row>
    <row r="881" ht="15.75" customHeight="1">
      <c r="M881" s="4"/>
      <c r="N881" s="5"/>
    </row>
    <row r="882" ht="15.75" customHeight="1">
      <c r="M882" s="4"/>
      <c r="N882" s="5"/>
    </row>
    <row r="883" ht="15.75" customHeight="1">
      <c r="M883" s="4"/>
      <c r="N883" s="5"/>
    </row>
    <row r="884" ht="15.75" customHeight="1">
      <c r="M884" s="4"/>
      <c r="N884" s="5"/>
    </row>
    <row r="885" ht="15.75" customHeight="1">
      <c r="M885" s="4"/>
      <c r="N885" s="5"/>
    </row>
    <row r="886" ht="15.75" customHeight="1">
      <c r="M886" s="4"/>
      <c r="N886" s="5"/>
    </row>
    <row r="887" ht="15.75" customHeight="1">
      <c r="M887" s="4"/>
      <c r="N887" s="5"/>
    </row>
    <row r="888" ht="15.75" customHeight="1">
      <c r="M888" s="4"/>
      <c r="N888" s="5"/>
    </row>
    <row r="889" ht="15.75" customHeight="1">
      <c r="M889" s="4"/>
      <c r="N889" s="5"/>
    </row>
    <row r="890" ht="15.75" customHeight="1">
      <c r="M890" s="4"/>
      <c r="N890" s="5"/>
    </row>
    <row r="891" ht="15.75" customHeight="1">
      <c r="M891" s="4"/>
      <c r="N891" s="5"/>
    </row>
    <row r="892" ht="15.75" customHeight="1">
      <c r="M892" s="4"/>
      <c r="N892" s="5"/>
    </row>
    <row r="893" ht="15.75" customHeight="1">
      <c r="M893" s="4"/>
      <c r="N893" s="5"/>
    </row>
    <row r="894" ht="15.75" customHeight="1">
      <c r="M894" s="4"/>
      <c r="N894" s="5"/>
    </row>
    <row r="895" ht="15.75" customHeight="1">
      <c r="M895" s="4"/>
      <c r="N895" s="5"/>
    </row>
    <row r="896" ht="15.75" customHeight="1">
      <c r="M896" s="4"/>
      <c r="N896" s="5"/>
    </row>
    <row r="897" ht="15.75" customHeight="1">
      <c r="M897" s="4"/>
      <c r="N897" s="5"/>
    </row>
    <row r="898" ht="15.75" customHeight="1">
      <c r="M898" s="4"/>
      <c r="N898" s="5"/>
    </row>
    <row r="899" ht="15.75" customHeight="1">
      <c r="M899" s="4"/>
      <c r="N899" s="5"/>
    </row>
    <row r="900" ht="15.75" customHeight="1">
      <c r="M900" s="4"/>
      <c r="N900" s="5"/>
    </row>
    <row r="901" ht="15.75" customHeight="1">
      <c r="M901" s="4"/>
      <c r="N901" s="5"/>
    </row>
    <row r="902" ht="15.75" customHeight="1">
      <c r="M902" s="4"/>
      <c r="N902" s="5"/>
    </row>
    <row r="903" ht="15.75" customHeight="1">
      <c r="M903" s="4"/>
      <c r="N903" s="5"/>
    </row>
    <row r="904" ht="15.75" customHeight="1">
      <c r="M904" s="4"/>
      <c r="N904" s="5"/>
    </row>
    <row r="905" ht="15.75" customHeight="1">
      <c r="M905" s="4"/>
      <c r="N905" s="5"/>
    </row>
    <row r="906" ht="15.75" customHeight="1">
      <c r="M906" s="4"/>
      <c r="N906" s="5"/>
    </row>
    <row r="907" ht="15.75" customHeight="1">
      <c r="M907" s="4"/>
      <c r="N907" s="5"/>
    </row>
    <row r="908" ht="15.75" customHeight="1">
      <c r="M908" s="4"/>
      <c r="N908" s="5"/>
    </row>
    <row r="909" ht="15.75" customHeight="1">
      <c r="M909" s="4"/>
      <c r="N909" s="5"/>
    </row>
    <row r="910" ht="15.75" customHeight="1">
      <c r="M910" s="4"/>
      <c r="N910" s="5"/>
    </row>
    <row r="911" ht="15.75" customHeight="1">
      <c r="M911" s="4"/>
      <c r="N911" s="5"/>
    </row>
    <row r="912" ht="15.75" customHeight="1">
      <c r="M912" s="4"/>
      <c r="N912" s="5"/>
    </row>
    <row r="913" ht="15.75" customHeight="1">
      <c r="M913" s="4"/>
      <c r="N913" s="5"/>
    </row>
    <row r="914" ht="15.75" customHeight="1">
      <c r="M914" s="4"/>
      <c r="N914" s="5"/>
    </row>
    <row r="915" ht="15.75" customHeight="1">
      <c r="M915" s="4"/>
      <c r="N915" s="5"/>
    </row>
    <row r="916" ht="15.75" customHeight="1">
      <c r="M916" s="4"/>
      <c r="N916" s="5"/>
    </row>
    <row r="917" ht="15.75" customHeight="1">
      <c r="M917" s="4"/>
      <c r="N917" s="5"/>
    </row>
    <row r="918" ht="15.75" customHeight="1">
      <c r="M918" s="4"/>
      <c r="N918" s="5"/>
    </row>
    <row r="919" ht="15.75" customHeight="1">
      <c r="M919" s="4"/>
      <c r="N919" s="5"/>
    </row>
    <row r="920" ht="15.75" customHeight="1">
      <c r="M920" s="4"/>
      <c r="N920" s="5"/>
    </row>
    <row r="921" ht="15.75" customHeight="1">
      <c r="M921" s="4"/>
      <c r="N921" s="5"/>
    </row>
    <row r="922" ht="15.75" customHeight="1">
      <c r="M922" s="4"/>
      <c r="N922" s="5"/>
    </row>
    <row r="923" ht="15.75" customHeight="1">
      <c r="M923" s="4"/>
      <c r="N923" s="5"/>
    </row>
    <row r="924" ht="15.75" customHeight="1">
      <c r="M924" s="4"/>
      <c r="N924" s="5"/>
    </row>
    <row r="925" ht="15.75" customHeight="1">
      <c r="M925" s="4"/>
      <c r="N925" s="5"/>
    </row>
    <row r="926" ht="15.75" customHeight="1">
      <c r="M926" s="4"/>
      <c r="N926" s="5"/>
    </row>
    <row r="927" ht="15.75" customHeight="1">
      <c r="M927" s="4"/>
      <c r="N927" s="5"/>
    </row>
    <row r="928" ht="15.75" customHeight="1">
      <c r="M928" s="4"/>
      <c r="N928" s="5"/>
    </row>
    <row r="929" ht="15.75" customHeight="1">
      <c r="M929" s="4"/>
      <c r="N929" s="5"/>
    </row>
    <row r="930" ht="15.75" customHeight="1">
      <c r="M930" s="4"/>
      <c r="N930" s="5"/>
    </row>
    <row r="931" ht="15.75" customHeight="1">
      <c r="M931" s="4"/>
      <c r="N931" s="5"/>
    </row>
    <row r="932" ht="15.75" customHeight="1">
      <c r="M932" s="4"/>
      <c r="N932" s="5"/>
    </row>
    <row r="933" ht="15.75" customHeight="1">
      <c r="M933" s="4"/>
      <c r="N933" s="5"/>
    </row>
    <row r="934" ht="15.75" customHeight="1">
      <c r="M934" s="4"/>
      <c r="N934" s="5"/>
    </row>
    <row r="935" ht="15.75" customHeight="1">
      <c r="M935" s="4"/>
      <c r="N935" s="5"/>
    </row>
    <row r="936" ht="15.75" customHeight="1">
      <c r="M936" s="4"/>
      <c r="N936" s="5"/>
    </row>
    <row r="937" ht="15.75" customHeight="1">
      <c r="M937" s="4"/>
      <c r="N937" s="5"/>
    </row>
    <row r="938" ht="15.75" customHeight="1">
      <c r="M938" s="4"/>
      <c r="N938" s="5"/>
    </row>
    <row r="939" ht="15.75" customHeight="1">
      <c r="M939" s="4"/>
      <c r="N939" s="5"/>
    </row>
    <row r="940" ht="15.75" customHeight="1">
      <c r="M940" s="4"/>
      <c r="N940" s="5"/>
    </row>
    <row r="941" ht="15.75" customHeight="1">
      <c r="M941" s="4"/>
      <c r="N941" s="5"/>
    </row>
    <row r="942" ht="15.75" customHeight="1">
      <c r="M942" s="4"/>
      <c r="N942" s="5"/>
    </row>
    <row r="943" ht="15.75" customHeight="1">
      <c r="M943" s="4"/>
      <c r="N943" s="5"/>
    </row>
    <row r="944" ht="15.75" customHeight="1">
      <c r="M944" s="4"/>
      <c r="N944" s="5"/>
    </row>
    <row r="945" ht="15.75" customHeight="1">
      <c r="M945" s="4"/>
      <c r="N945" s="5"/>
    </row>
    <row r="946" ht="15.75" customHeight="1">
      <c r="M946" s="4"/>
      <c r="N946" s="5"/>
    </row>
    <row r="947" ht="15.75" customHeight="1">
      <c r="M947" s="4"/>
      <c r="N947" s="5"/>
    </row>
    <row r="948" ht="15.75" customHeight="1">
      <c r="M948" s="4"/>
      <c r="N948" s="5"/>
    </row>
    <row r="949" ht="15.75" customHeight="1">
      <c r="M949" s="4"/>
      <c r="N949" s="5"/>
    </row>
    <row r="950" ht="15.75" customHeight="1">
      <c r="M950" s="4"/>
      <c r="N950" s="5"/>
    </row>
    <row r="951" ht="15.75" customHeight="1">
      <c r="M951" s="4"/>
      <c r="N951" s="5"/>
    </row>
    <row r="952" ht="15.75" customHeight="1">
      <c r="M952" s="4"/>
      <c r="N952" s="5"/>
    </row>
    <row r="953" ht="15.75" customHeight="1">
      <c r="M953" s="4"/>
      <c r="N953" s="5"/>
    </row>
    <row r="954" ht="15.75" customHeight="1">
      <c r="M954" s="4"/>
      <c r="N954" s="5"/>
    </row>
    <row r="955" ht="15.75" customHeight="1">
      <c r="M955" s="4"/>
      <c r="N955" s="5"/>
    </row>
    <row r="956" ht="15.75" customHeight="1">
      <c r="M956" s="4"/>
      <c r="N956" s="5"/>
    </row>
    <row r="957" ht="15.75" customHeight="1">
      <c r="M957" s="4"/>
      <c r="N957" s="5"/>
    </row>
    <row r="958" ht="15.75" customHeight="1">
      <c r="M958" s="4"/>
      <c r="N958" s="5"/>
    </row>
    <row r="959" ht="15.75" customHeight="1">
      <c r="M959" s="4"/>
      <c r="N959" s="5"/>
    </row>
    <row r="960" ht="15.75" customHeight="1">
      <c r="M960" s="4"/>
      <c r="N960" s="5"/>
    </row>
    <row r="961" ht="15.75" customHeight="1">
      <c r="M961" s="4"/>
      <c r="N961" s="5"/>
    </row>
    <row r="962" ht="15.75" customHeight="1">
      <c r="M962" s="4"/>
      <c r="N962" s="5"/>
    </row>
    <row r="963" ht="15.75" customHeight="1">
      <c r="M963" s="4"/>
      <c r="N963" s="5"/>
    </row>
    <row r="964" ht="15.75" customHeight="1">
      <c r="M964" s="4"/>
      <c r="N964" s="5"/>
    </row>
    <row r="965" ht="15.75" customHeight="1">
      <c r="M965" s="4"/>
      <c r="N965" s="5"/>
    </row>
    <row r="966" ht="15.75" customHeight="1">
      <c r="M966" s="4"/>
      <c r="N966" s="5"/>
    </row>
    <row r="967" ht="15.75" customHeight="1">
      <c r="M967" s="4"/>
      <c r="N967" s="5"/>
    </row>
    <row r="968" ht="15.75" customHeight="1">
      <c r="M968" s="4"/>
      <c r="N968" s="5"/>
    </row>
    <row r="969" ht="15.75" customHeight="1">
      <c r="M969" s="4"/>
      <c r="N969" s="5"/>
    </row>
    <row r="970" ht="15.75" customHeight="1">
      <c r="M970" s="4"/>
      <c r="N970" s="5"/>
    </row>
    <row r="971" ht="15.75" customHeight="1">
      <c r="M971" s="4"/>
      <c r="N971" s="5"/>
    </row>
    <row r="972" ht="15.75" customHeight="1">
      <c r="M972" s="4"/>
      <c r="N972" s="5"/>
    </row>
    <row r="973" ht="15.75" customHeight="1">
      <c r="M973" s="4"/>
      <c r="N973" s="5"/>
    </row>
    <row r="974" ht="15.75" customHeight="1">
      <c r="M974" s="4"/>
      <c r="N974" s="5"/>
    </row>
    <row r="975" ht="15.75" customHeight="1">
      <c r="M975" s="4"/>
      <c r="N975" s="5"/>
    </row>
    <row r="976" ht="15.75" customHeight="1">
      <c r="M976" s="4"/>
      <c r="N976" s="5"/>
    </row>
    <row r="977" ht="15.75" customHeight="1">
      <c r="M977" s="4"/>
      <c r="N977" s="5"/>
    </row>
    <row r="978" ht="15.75" customHeight="1">
      <c r="M978" s="4"/>
      <c r="N978" s="5"/>
    </row>
    <row r="979" ht="15.75" customHeight="1">
      <c r="M979" s="4"/>
      <c r="N979" s="5"/>
    </row>
    <row r="980" ht="15.75" customHeight="1">
      <c r="M980" s="4"/>
      <c r="N980" s="5"/>
    </row>
    <row r="981" ht="15.75" customHeight="1">
      <c r="M981" s="4"/>
      <c r="N981" s="5"/>
    </row>
    <row r="982" ht="15.75" customHeight="1">
      <c r="M982" s="4"/>
      <c r="N982" s="5"/>
    </row>
    <row r="983" ht="15.75" customHeight="1">
      <c r="M983" s="4"/>
      <c r="N983" s="5"/>
    </row>
    <row r="984" ht="15.75" customHeight="1">
      <c r="M984" s="4"/>
      <c r="N984" s="5"/>
    </row>
    <row r="985" ht="15.75" customHeight="1">
      <c r="M985" s="4"/>
      <c r="N985" s="5"/>
    </row>
    <row r="986" ht="15.75" customHeight="1">
      <c r="M986" s="4"/>
      <c r="N986" s="5"/>
    </row>
    <row r="987" ht="15.75" customHeight="1">
      <c r="M987" s="4"/>
      <c r="N987" s="5"/>
    </row>
    <row r="988" ht="15.75" customHeight="1">
      <c r="M988" s="4"/>
      <c r="N988" s="5"/>
    </row>
    <row r="989" ht="15.75" customHeight="1">
      <c r="M989" s="4"/>
      <c r="N989" s="5"/>
    </row>
    <row r="990" ht="15.75" customHeight="1">
      <c r="M990" s="4"/>
      <c r="N990" s="5"/>
    </row>
    <row r="991" ht="15.75" customHeight="1">
      <c r="M991" s="4"/>
      <c r="N991" s="5"/>
    </row>
    <row r="992" ht="15.75" customHeight="1">
      <c r="M992" s="4"/>
      <c r="N992" s="5"/>
    </row>
    <row r="993" ht="15.75" customHeight="1">
      <c r="M993" s="4"/>
      <c r="N993" s="5"/>
    </row>
    <row r="994" ht="15.75" customHeight="1">
      <c r="M994" s="4"/>
      <c r="N994" s="5"/>
    </row>
    <row r="995" ht="15.75" customHeight="1">
      <c r="M995" s="4"/>
      <c r="N995" s="5"/>
    </row>
    <row r="996" ht="15.75" customHeight="1">
      <c r="M996" s="4"/>
      <c r="N996" s="5"/>
    </row>
    <row r="997" ht="15.75" customHeight="1">
      <c r="M997" s="4"/>
      <c r="N997" s="5"/>
    </row>
    <row r="998" ht="15.75" customHeight="1">
      <c r="M998" s="4"/>
      <c r="N998" s="5"/>
    </row>
    <row r="999" ht="15.75" customHeight="1">
      <c r="M999" s="4"/>
      <c r="N999" s="5"/>
    </row>
    <row r="1000" ht="15.75" customHeight="1">
      <c r="M1000" s="4"/>
      <c r="N1000" s="5"/>
    </row>
  </sheetData>
  <mergeCells count="15">
    <mergeCell ref="L98:M98"/>
    <mergeCell ref="L99:M99"/>
    <mergeCell ref="L96:M97"/>
    <mergeCell ref="L100:M100"/>
    <mergeCell ref="B101:D101"/>
    <mergeCell ref="D107:G107"/>
    <mergeCell ref="D110:E110"/>
    <mergeCell ref="D111:E111"/>
    <mergeCell ref="B3:H3"/>
    <mergeCell ref="L3:O3"/>
    <mergeCell ref="N96:N97"/>
    <mergeCell ref="B97:D97"/>
    <mergeCell ref="B98:D98"/>
    <mergeCell ref="B99:D99"/>
    <mergeCell ref="B100:D100"/>
  </mergeCells>
  <printOptions/>
  <pageMargins bottom="0.75" footer="0.0" header="0.0" left="0.7" right="0.7" top="0.75"/>
  <pageSetup paperSize="9" orientation="portrait"/>
  <drawing r:id="rId1"/>
  <legacyDrawing r:id="rId2"/>
  <oleObjects>
    <oleObject progId="Объект упаковщика для оболочки" shapeId="2049" r:id="rId3"/>
    <oleObject progId="Объект упаковщика для оболочки" shapeId="2050" r:id="rId4"/>
  </oleObjec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43"/>
    <col customWidth="1" min="3" max="3" width="39.14"/>
    <col customWidth="1" min="4" max="4" width="17.29"/>
    <col customWidth="1" min="5" max="5" width="23.86"/>
    <col customWidth="1" min="6" max="6" width="29.0"/>
    <col customWidth="1" min="7" max="7" width="12.14"/>
    <col customWidth="1" min="8" max="8" width="8.71"/>
    <col customWidth="1" min="9" max="10" width="8.86"/>
    <col customWidth="1" min="11" max="11" width="23.43"/>
    <col customWidth="1" min="12" max="12" width="34.29"/>
    <col customWidth="1" min="13" max="13" width="12.71"/>
    <col customWidth="1" min="14" max="14" width="14.0"/>
    <col customWidth="1" min="15" max="15" width="9.29"/>
    <col customWidth="1" min="16" max="16" width="29.86"/>
    <col customWidth="1" min="17" max="17" width="20.43"/>
    <col customWidth="1" min="18" max="18" width="15.29"/>
    <col customWidth="1" min="19" max="19" width="13.43"/>
    <col customWidth="1" min="20" max="20" width="12.43"/>
    <col customWidth="1" min="21" max="22" width="8.86"/>
    <col customWidth="1" min="23" max="23" width="19.43"/>
    <col customWidth="1" min="24" max="24" width="21.14"/>
    <col customWidth="1" min="25" max="25" width="15.86"/>
    <col customWidth="1" min="26" max="26" width="8.71"/>
    <col customWidth="1" min="27" max="27" width="8.86"/>
    <col customWidth="1" min="28" max="28" width="9.14"/>
    <col customWidth="1" min="29" max="29" width="15.71"/>
    <col customWidth="1" min="30" max="30" width="15.43"/>
    <col customWidth="1" min="31" max="31" width="13.14"/>
    <col customWidth="1" min="32" max="32" width="10.0"/>
    <col customWidth="1" min="33" max="34" width="8.86"/>
    <col customWidth="1" min="35" max="36" width="17.86"/>
    <col customWidth="1" min="37" max="37" width="20.14"/>
    <col customWidth="1" min="38" max="38" width="13.14"/>
    <col customWidth="1" min="39" max="40" width="8.86"/>
    <col customWidth="1" min="41" max="41" width="20.43"/>
    <col customWidth="1" min="42" max="42" width="22.71"/>
    <col customWidth="1" min="43" max="43" width="13.29"/>
    <col customWidth="1" min="44" max="44" width="8.71"/>
  </cols>
  <sheetData>
    <row r="1">
      <c r="C1" s="4"/>
      <c r="D1" s="333"/>
      <c r="E1" s="5"/>
      <c r="F1" s="5"/>
      <c r="G1" s="5"/>
      <c r="H1" s="112"/>
      <c r="L1" s="4"/>
      <c r="M1" s="5"/>
      <c r="N1" s="112"/>
      <c r="R1" s="333"/>
      <c r="S1" s="5"/>
      <c r="T1" s="112"/>
      <c r="X1" s="333"/>
      <c r="Y1" s="5"/>
      <c r="AD1" s="333"/>
      <c r="AE1" s="5"/>
      <c r="AJ1" s="333"/>
      <c r="AK1" s="5"/>
      <c r="AP1" s="333"/>
      <c r="AQ1" s="5"/>
    </row>
    <row r="2">
      <c r="B2" s="272" t="s">
        <v>2</v>
      </c>
      <c r="C2" s="117"/>
      <c r="D2" s="117"/>
      <c r="E2" s="117"/>
      <c r="F2" s="117"/>
      <c r="G2" s="117"/>
      <c r="H2" s="118"/>
      <c r="L2" s="4"/>
      <c r="M2" s="5"/>
      <c r="N2" s="112"/>
      <c r="R2" s="333"/>
      <c r="S2" s="5"/>
      <c r="T2" s="112"/>
      <c r="X2" s="333"/>
      <c r="Y2" s="5"/>
      <c r="AD2" s="333"/>
      <c r="AE2" s="5"/>
      <c r="AJ2" s="333"/>
      <c r="AK2" s="5"/>
      <c r="AP2" s="333"/>
      <c r="AQ2" s="5"/>
    </row>
    <row r="3">
      <c r="B3" s="274" t="s">
        <v>8</v>
      </c>
      <c r="C3" s="275" t="s">
        <v>9</v>
      </c>
      <c r="D3" s="276" t="s">
        <v>10</v>
      </c>
      <c r="E3" s="277" t="s">
        <v>11</v>
      </c>
      <c r="F3" s="278" t="s">
        <v>12</v>
      </c>
      <c r="G3" s="279" t="s">
        <v>13</v>
      </c>
      <c r="H3" s="280" t="s">
        <v>14</v>
      </c>
      <c r="K3" s="273" t="s">
        <v>3</v>
      </c>
      <c r="L3" s="117"/>
      <c r="M3" s="117"/>
      <c r="N3" s="118"/>
      <c r="P3" s="334" t="s">
        <v>326</v>
      </c>
      <c r="Q3" s="117"/>
      <c r="R3" s="117"/>
      <c r="S3" s="117"/>
      <c r="T3" s="118"/>
      <c r="W3" s="335" t="s">
        <v>327</v>
      </c>
      <c r="X3" s="117"/>
      <c r="Y3" s="117"/>
      <c r="Z3" s="118"/>
      <c r="AC3" s="336" t="s">
        <v>328</v>
      </c>
      <c r="AD3" s="117"/>
      <c r="AE3" s="117"/>
      <c r="AF3" s="118"/>
      <c r="AI3" s="337" t="s">
        <v>329</v>
      </c>
      <c r="AJ3" s="117"/>
      <c r="AK3" s="117"/>
      <c r="AL3" s="118"/>
      <c r="AO3" s="338" t="s">
        <v>330</v>
      </c>
      <c r="AP3" s="117"/>
      <c r="AQ3" s="117"/>
      <c r="AR3" s="118"/>
    </row>
    <row r="4">
      <c r="A4" s="44">
        <v>1.0</v>
      </c>
      <c r="B4" s="285" t="s">
        <v>331</v>
      </c>
      <c r="C4" s="339">
        <v>45518.0</v>
      </c>
      <c r="D4" s="287">
        <v>45518.0</v>
      </c>
      <c r="E4" s="288">
        <v>100.0</v>
      </c>
      <c r="F4" s="340" t="s">
        <v>332</v>
      </c>
      <c r="G4" s="290"/>
      <c r="H4" s="291"/>
      <c r="K4" s="281" t="s">
        <v>15</v>
      </c>
      <c r="L4" s="282" t="s">
        <v>9</v>
      </c>
      <c r="M4" s="283" t="s">
        <v>11</v>
      </c>
      <c r="N4" s="284" t="s">
        <v>16</v>
      </c>
      <c r="P4" s="341" t="s">
        <v>333</v>
      </c>
      <c r="Q4" s="341" t="s">
        <v>334</v>
      </c>
      <c r="R4" s="342" t="s">
        <v>9</v>
      </c>
      <c r="S4" s="343" t="s">
        <v>11</v>
      </c>
      <c r="T4" s="344" t="s">
        <v>14</v>
      </c>
      <c r="W4" s="345" t="s">
        <v>334</v>
      </c>
      <c r="X4" s="345" t="s">
        <v>9</v>
      </c>
      <c r="Y4" s="283" t="s">
        <v>11</v>
      </c>
      <c r="Z4" s="284" t="s">
        <v>14</v>
      </c>
      <c r="AC4" s="345" t="s">
        <v>334</v>
      </c>
      <c r="AD4" s="345" t="s">
        <v>9</v>
      </c>
      <c r="AE4" s="283" t="s">
        <v>11</v>
      </c>
      <c r="AF4" s="284" t="s">
        <v>14</v>
      </c>
      <c r="AI4" s="345" t="s">
        <v>334</v>
      </c>
      <c r="AJ4" s="345" t="s">
        <v>9</v>
      </c>
      <c r="AK4" s="283" t="s">
        <v>11</v>
      </c>
      <c r="AL4" s="284" t="s">
        <v>14</v>
      </c>
      <c r="AO4" s="345" t="s">
        <v>334</v>
      </c>
      <c r="AP4" s="345" t="s">
        <v>9</v>
      </c>
      <c r="AQ4" s="283" t="s">
        <v>11</v>
      </c>
      <c r="AR4" s="284" t="s">
        <v>14</v>
      </c>
    </row>
    <row r="5">
      <c r="A5" s="44">
        <v>2.0</v>
      </c>
      <c r="B5" s="293" t="s">
        <v>26</v>
      </c>
      <c r="C5" s="155">
        <v>45518.0</v>
      </c>
      <c r="D5" s="294">
        <v>45518.0</v>
      </c>
      <c r="E5" s="295">
        <v>500.0</v>
      </c>
      <c r="F5" s="340" t="s">
        <v>332</v>
      </c>
      <c r="G5" s="296"/>
      <c r="H5" s="297"/>
      <c r="K5" s="346" t="s">
        <v>335</v>
      </c>
      <c r="L5" s="158">
        <v>45527.0</v>
      </c>
      <c r="M5" s="347">
        <v>1143.0</v>
      </c>
      <c r="N5" s="348"/>
      <c r="P5" s="349" t="s">
        <v>336</v>
      </c>
      <c r="Q5" s="350" t="s">
        <v>337</v>
      </c>
      <c r="R5" s="287">
        <v>45529.0</v>
      </c>
      <c r="S5" s="351">
        <v>174.5</v>
      </c>
      <c r="T5" s="291"/>
      <c r="W5" s="294" t="str">
        <f t="shared" ref="W5:Z5" si="1">IF($P5="Uz casnic",Q5,"")</f>
        <v>Pahare Global</v>
      </c>
      <c r="X5" s="294">
        <f t="shared" si="1"/>
        <v>45529</v>
      </c>
      <c r="Y5" s="292">
        <f t="shared" si="1"/>
        <v>174.5</v>
      </c>
      <c r="Z5" s="44" t="str">
        <f t="shared" si="1"/>
        <v/>
      </c>
      <c r="AC5" s="294" t="str">
        <f t="shared" ref="AC5:AF5" si="2">IF($P7="Transport",Q7,"")</f>
        <v>Petrom</v>
      </c>
      <c r="AD5" s="294">
        <f t="shared" si="2"/>
        <v>45530</v>
      </c>
      <c r="AE5" s="292">
        <f t="shared" si="2"/>
        <v>100</v>
      </c>
      <c r="AF5" s="44" t="str">
        <f t="shared" si="2"/>
        <v>fără cec</v>
      </c>
      <c r="AI5" s="294" t="str">
        <f t="shared" ref="AI5:AL5" si="3">IF($P7="Necesitati biserica",Q7,"")</f>
        <v/>
      </c>
      <c r="AJ5" s="294" t="str">
        <f t="shared" si="3"/>
        <v/>
      </c>
      <c r="AK5" s="292" t="str">
        <f t="shared" si="3"/>
        <v/>
      </c>
      <c r="AL5" s="44" t="str">
        <f t="shared" si="3"/>
        <v/>
      </c>
      <c r="AO5" s="294" t="str">
        <f t="shared" ref="AO5:AR5" si="4">IF($P7="Materiale de constructie",Q7,"")</f>
        <v/>
      </c>
      <c r="AP5" s="294" t="str">
        <f t="shared" si="4"/>
        <v/>
      </c>
      <c r="AQ5" s="292" t="str">
        <f t="shared" si="4"/>
        <v/>
      </c>
      <c r="AR5" s="44" t="str">
        <f t="shared" si="4"/>
        <v/>
      </c>
    </row>
    <row r="6">
      <c r="A6" s="44">
        <v>3.0</v>
      </c>
      <c r="B6" s="293" t="s">
        <v>137</v>
      </c>
      <c r="C6" s="155">
        <v>45520.0</v>
      </c>
      <c r="D6" s="294">
        <v>45520.0</v>
      </c>
      <c r="E6" s="295">
        <v>500.0</v>
      </c>
      <c r="F6" s="340" t="s">
        <v>332</v>
      </c>
      <c r="G6" s="296"/>
      <c r="H6" s="297"/>
      <c r="K6" s="346" t="s">
        <v>338</v>
      </c>
      <c r="L6" s="158">
        <v>45533.0</v>
      </c>
      <c r="M6" s="347">
        <v>399.0</v>
      </c>
      <c r="N6" s="348"/>
      <c r="P6" s="349" t="s">
        <v>336</v>
      </c>
      <c r="Q6" s="352" t="s">
        <v>339</v>
      </c>
      <c r="R6" s="294">
        <v>45530.0</v>
      </c>
      <c r="S6" s="292">
        <v>499.5</v>
      </c>
      <c r="T6" s="297"/>
      <c r="W6" s="294" t="str">
        <f t="shared" ref="W6:Z6" si="5">IF($P6="Uz casnic",Q6,"")</f>
        <v>Terminal Pahare</v>
      </c>
      <c r="X6" s="294">
        <f t="shared" si="5"/>
        <v>45530</v>
      </c>
      <c r="Y6" s="292">
        <f t="shared" si="5"/>
        <v>499.5</v>
      </c>
      <c r="Z6" s="44" t="str">
        <f t="shared" si="5"/>
        <v/>
      </c>
      <c r="AC6" s="294" t="str">
        <f t="shared" ref="AC6:AF6" si="6">IF($P8="Transport",Q8,"")</f>
        <v/>
      </c>
      <c r="AD6" s="294" t="str">
        <f t="shared" si="6"/>
        <v/>
      </c>
      <c r="AE6" s="292" t="str">
        <f t="shared" si="6"/>
        <v/>
      </c>
      <c r="AF6" s="44" t="str">
        <f t="shared" si="6"/>
        <v/>
      </c>
      <c r="AI6" s="294" t="str">
        <f t="shared" ref="AI6:AL6" si="7">IF($P8="Necesitati biserica",Q8,"")</f>
        <v/>
      </c>
      <c r="AJ6" s="294" t="str">
        <f t="shared" si="7"/>
        <v/>
      </c>
      <c r="AK6" s="292" t="str">
        <f t="shared" si="7"/>
        <v/>
      </c>
      <c r="AL6" s="44" t="str">
        <f t="shared" si="7"/>
        <v/>
      </c>
      <c r="AO6" s="294" t="str">
        <f t="shared" ref="AO6:AR6" si="8">IF($P8="Materiale de constructie",Q8,"")</f>
        <v>Nanu (Sifoane)</v>
      </c>
      <c r="AP6" s="294">
        <f t="shared" si="8"/>
        <v>45530</v>
      </c>
      <c r="AQ6" s="292">
        <f t="shared" si="8"/>
        <v>770.75</v>
      </c>
      <c r="AR6" s="44" t="str">
        <f t="shared" si="8"/>
        <v/>
      </c>
    </row>
    <row r="7">
      <c r="A7" s="44">
        <v>4.0</v>
      </c>
      <c r="B7" s="293" t="s">
        <v>271</v>
      </c>
      <c r="C7" s="155">
        <v>45520.0</v>
      </c>
      <c r="D7" s="294">
        <v>45520.0</v>
      </c>
      <c r="E7" s="295">
        <v>500.0</v>
      </c>
      <c r="F7" s="340" t="s">
        <v>332</v>
      </c>
      <c r="G7" s="296"/>
      <c r="H7" s="297"/>
      <c r="K7" s="346" t="s">
        <v>340</v>
      </c>
      <c r="L7" s="158">
        <v>45534.0</v>
      </c>
      <c r="M7" s="347">
        <v>1428.0</v>
      </c>
      <c r="N7" s="348"/>
      <c r="P7" s="303" t="s">
        <v>328</v>
      </c>
      <c r="Q7" s="352" t="s">
        <v>341</v>
      </c>
      <c r="R7" s="294">
        <v>45530.0</v>
      </c>
      <c r="S7" s="292">
        <v>100.0</v>
      </c>
      <c r="T7" s="297" t="s">
        <v>342</v>
      </c>
      <c r="W7" s="294"/>
      <c r="X7" s="294" t="str">
        <f t="shared" ref="X7:Z7" si="9">IF($P7="Uz casnic",R7,"")</f>
        <v/>
      </c>
      <c r="Y7" s="292" t="str">
        <f t="shared" si="9"/>
        <v/>
      </c>
      <c r="Z7" s="44" t="str">
        <f t="shared" si="9"/>
        <v/>
      </c>
      <c r="AC7" s="294" t="str">
        <f t="shared" ref="AC7:AF7" si="10">IF($P9="Transport",Q9,"")</f>
        <v/>
      </c>
      <c r="AD7" s="294" t="str">
        <f t="shared" si="10"/>
        <v/>
      </c>
      <c r="AE7" s="292" t="str">
        <f t="shared" si="10"/>
        <v/>
      </c>
      <c r="AF7" s="44" t="str">
        <f t="shared" si="10"/>
        <v/>
      </c>
      <c r="AI7" s="294" t="str">
        <f t="shared" ref="AI7:AL7" si="11">IF($P9="Necesitati biserica",Q9,"")</f>
        <v/>
      </c>
      <c r="AJ7" s="294" t="str">
        <f t="shared" si="11"/>
        <v/>
      </c>
      <c r="AK7" s="292" t="str">
        <f t="shared" si="11"/>
        <v/>
      </c>
      <c r="AL7" s="44" t="str">
        <f t="shared" si="11"/>
        <v/>
      </c>
      <c r="AO7" s="294" t="str">
        <f t="shared" ref="AO7:AR7" si="12">IF($P9="Materiale de constructie",Q9,"")</f>
        <v/>
      </c>
      <c r="AP7" s="294" t="str">
        <f t="shared" si="12"/>
        <v/>
      </c>
      <c r="AQ7" s="292" t="str">
        <f t="shared" si="12"/>
        <v/>
      </c>
      <c r="AR7" s="44" t="str">
        <f t="shared" si="12"/>
        <v/>
      </c>
    </row>
    <row r="8">
      <c r="A8" s="44">
        <v>5.0</v>
      </c>
      <c r="B8" s="293" t="s">
        <v>32</v>
      </c>
      <c r="C8" s="155">
        <v>45523.0</v>
      </c>
      <c r="D8" s="294">
        <v>45523.0</v>
      </c>
      <c r="E8" s="295">
        <v>490.0</v>
      </c>
      <c r="F8" s="340" t="s">
        <v>332</v>
      </c>
      <c r="G8" s="296"/>
      <c r="H8" s="297"/>
      <c r="K8" s="44" t="s">
        <v>343</v>
      </c>
      <c r="L8" s="156">
        <v>45552.0</v>
      </c>
      <c r="M8" s="292">
        <v>1000.0</v>
      </c>
      <c r="N8" s="297"/>
      <c r="P8" s="303" t="s">
        <v>330</v>
      </c>
      <c r="Q8" s="352" t="s">
        <v>344</v>
      </c>
      <c r="R8" s="294">
        <v>45530.0</v>
      </c>
      <c r="S8" s="292">
        <v>770.75</v>
      </c>
      <c r="T8" s="297"/>
      <c r="W8" s="294" t="str">
        <f t="shared" ref="W8:Z8" si="13">IF($P8="Uz casnic",Q8,"")</f>
        <v/>
      </c>
      <c r="X8" s="294" t="str">
        <f t="shared" si="13"/>
        <v/>
      </c>
      <c r="Y8" s="292" t="str">
        <f t="shared" si="13"/>
        <v/>
      </c>
      <c r="Z8" s="44" t="str">
        <f t="shared" si="13"/>
        <v/>
      </c>
      <c r="AC8" s="294" t="str">
        <f t="shared" ref="AC8:AF8" si="14">IF($P10="Transport",Q10,"")</f>
        <v/>
      </c>
      <c r="AD8" s="294" t="str">
        <f t="shared" si="14"/>
        <v/>
      </c>
      <c r="AE8" s="292" t="str">
        <f t="shared" si="14"/>
        <v/>
      </c>
      <c r="AF8" s="44" t="str">
        <f t="shared" si="14"/>
        <v/>
      </c>
      <c r="AI8" s="294" t="str">
        <f t="shared" ref="AI8:AL8" si="15">IF($P10="Necesitati biserica",Q10,"")</f>
        <v/>
      </c>
      <c r="AJ8" s="294" t="str">
        <f t="shared" si="15"/>
        <v/>
      </c>
      <c r="AK8" s="292" t="str">
        <f t="shared" si="15"/>
        <v/>
      </c>
      <c r="AL8" s="44" t="str">
        <f t="shared" si="15"/>
        <v/>
      </c>
      <c r="AO8" s="294" t="str">
        <f t="shared" ref="AO8:AR8" si="16">IF($P10="Materiale de constructie",Q10,"")</f>
        <v/>
      </c>
      <c r="AP8" s="294" t="str">
        <f t="shared" si="16"/>
        <v/>
      </c>
      <c r="AQ8" s="292" t="str">
        <f t="shared" si="16"/>
        <v/>
      </c>
      <c r="AR8" s="44" t="str">
        <f t="shared" si="16"/>
        <v/>
      </c>
    </row>
    <row r="9">
      <c r="A9" s="44">
        <v>6.0</v>
      </c>
      <c r="B9" s="293" t="s">
        <v>300</v>
      </c>
      <c r="C9" s="155">
        <v>45524.0</v>
      </c>
      <c r="D9" s="294">
        <v>45524.0</v>
      </c>
      <c r="E9" s="295">
        <v>500.0</v>
      </c>
      <c r="F9" s="340" t="s">
        <v>332</v>
      </c>
      <c r="G9" s="296"/>
      <c r="H9" s="297"/>
      <c r="K9" s="44"/>
      <c r="L9" s="156"/>
      <c r="M9" s="292"/>
      <c r="N9" s="297"/>
      <c r="P9" s="349" t="s">
        <v>336</v>
      </c>
      <c r="Q9" s="352" t="s">
        <v>345</v>
      </c>
      <c r="R9" s="294">
        <v>45533.0</v>
      </c>
      <c r="S9" s="292">
        <v>30.0</v>
      </c>
      <c r="T9" s="297"/>
      <c r="W9" s="294" t="str">
        <f t="shared" ref="W9:Z9" si="17">IF($P9="Uz casnic",Q9,"")</f>
        <v>Pesticide</v>
      </c>
      <c r="X9" s="294">
        <f t="shared" si="17"/>
        <v>45533</v>
      </c>
      <c r="Y9" s="292">
        <f t="shared" si="17"/>
        <v>30</v>
      </c>
      <c r="Z9" s="44" t="str">
        <f t="shared" si="17"/>
        <v/>
      </c>
      <c r="AC9" s="294" t="str">
        <f t="shared" ref="AC9:AF9" si="18">IF($P11="Transport",Q11,"")</f>
        <v/>
      </c>
      <c r="AD9" s="294" t="str">
        <f t="shared" si="18"/>
        <v/>
      </c>
      <c r="AE9" s="292" t="str">
        <f t="shared" si="18"/>
        <v/>
      </c>
      <c r="AF9" s="44" t="str">
        <f t="shared" si="18"/>
        <v/>
      </c>
      <c r="AI9" s="294" t="str">
        <f t="shared" ref="AI9:AL9" si="19">IF($P11="Necesitati biserica",Q11,"")</f>
        <v/>
      </c>
      <c r="AJ9" s="294" t="str">
        <f t="shared" si="19"/>
        <v/>
      </c>
      <c r="AK9" s="292" t="str">
        <f t="shared" si="19"/>
        <v/>
      </c>
      <c r="AL9" s="44" t="str">
        <f t="shared" si="19"/>
        <v/>
      </c>
      <c r="AO9" s="294" t="str">
        <f t="shared" ref="AO9:AR9" si="20">IF($P11="Materiale de constructie",Q11,"")</f>
        <v/>
      </c>
      <c r="AP9" s="294" t="str">
        <f t="shared" si="20"/>
        <v/>
      </c>
      <c r="AQ9" s="292" t="str">
        <f t="shared" si="20"/>
        <v/>
      </c>
      <c r="AR9" s="44" t="str">
        <f t="shared" si="20"/>
        <v/>
      </c>
    </row>
    <row r="10">
      <c r="A10" s="44">
        <v>7.0</v>
      </c>
      <c r="B10" s="293" t="s">
        <v>346</v>
      </c>
      <c r="C10" s="155">
        <v>45524.0</v>
      </c>
      <c r="D10" s="294">
        <v>45524.0</v>
      </c>
      <c r="E10" s="295">
        <v>500.0</v>
      </c>
      <c r="F10" s="340" t="s">
        <v>332</v>
      </c>
      <c r="G10" s="296"/>
      <c r="H10" s="297"/>
      <c r="K10" s="44"/>
      <c r="L10" s="156"/>
      <c r="M10" s="292"/>
      <c r="N10" s="297"/>
      <c r="P10" s="349" t="s">
        <v>336</v>
      </c>
      <c r="Q10" s="352" t="s">
        <v>347</v>
      </c>
      <c r="R10" s="294">
        <v>45533.0</v>
      </c>
      <c r="S10" s="292">
        <v>387.25</v>
      </c>
      <c r="T10" s="297"/>
      <c r="W10" s="294" t="str">
        <f t="shared" ref="W10:Z10" si="21">IF($P10="Uz casnic",Q10,"")</f>
        <v>Terminal Igiena</v>
      </c>
      <c r="X10" s="294">
        <f t="shared" si="21"/>
        <v>45533</v>
      </c>
      <c r="Y10" s="292">
        <f t="shared" si="21"/>
        <v>387.25</v>
      </c>
      <c r="Z10" s="44" t="str">
        <f t="shared" si="21"/>
        <v/>
      </c>
      <c r="AC10" s="294" t="str">
        <f t="shared" ref="AC10:AF10" si="22">IF($P12="Transport",Q12,"")</f>
        <v/>
      </c>
      <c r="AD10" s="294" t="str">
        <f t="shared" si="22"/>
        <v/>
      </c>
      <c r="AE10" s="292" t="str">
        <f t="shared" si="22"/>
        <v/>
      </c>
      <c r="AF10" s="44" t="str">
        <f t="shared" si="22"/>
        <v/>
      </c>
      <c r="AI10" s="294" t="str">
        <f t="shared" ref="AI10:AL10" si="23">IF($P12="Necesitati biserica",Q12,"")</f>
        <v>Flori intrare</v>
      </c>
      <c r="AJ10" s="294">
        <f t="shared" si="23"/>
        <v>45533</v>
      </c>
      <c r="AK10" s="292">
        <f t="shared" si="23"/>
        <v>100</v>
      </c>
      <c r="AL10" s="44" t="str">
        <f t="shared" si="23"/>
        <v>fără cec</v>
      </c>
      <c r="AO10" s="294" t="str">
        <f t="shared" ref="AO10:AR10" si="24">IF($P12="Materiale de constructie",Q12,"")</f>
        <v/>
      </c>
      <c r="AP10" s="294" t="str">
        <f t="shared" si="24"/>
        <v/>
      </c>
      <c r="AQ10" s="292" t="str">
        <f t="shared" si="24"/>
        <v/>
      </c>
      <c r="AR10" s="44" t="str">
        <f t="shared" si="24"/>
        <v/>
      </c>
    </row>
    <row r="11">
      <c r="A11" s="44">
        <v>8.0</v>
      </c>
      <c r="B11" s="293" t="s">
        <v>26</v>
      </c>
      <c r="C11" s="155">
        <v>45525.0</v>
      </c>
      <c r="D11" s="294">
        <v>45525.0</v>
      </c>
      <c r="E11" s="295">
        <v>500.0</v>
      </c>
      <c r="F11" s="340" t="s">
        <v>332</v>
      </c>
      <c r="G11" s="296"/>
      <c r="H11" s="297"/>
      <c r="K11" s="44"/>
      <c r="L11" s="156"/>
      <c r="M11" s="292"/>
      <c r="N11" s="297"/>
      <c r="P11" s="349" t="s">
        <v>336</v>
      </c>
      <c r="Q11" s="352" t="s">
        <v>348</v>
      </c>
      <c r="R11" s="294">
        <v>45533.0</v>
      </c>
      <c r="S11" s="292">
        <v>147.35</v>
      </c>
      <c r="T11" s="297"/>
      <c r="W11" s="294" t="str">
        <f t="shared" ref="W11:Z11" si="25">IF($P11="Uz casnic",Q11,"")</f>
        <v>Nanu(căldare)</v>
      </c>
      <c r="X11" s="294">
        <f t="shared" si="25"/>
        <v>45533</v>
      </c>
      <c r="Y11" s="292">
        <f t="shared" si="25"/>
        <v>147.35</v>
      </c>
      <c r="Z11" s="44" t="str">
        <f t="shared" si="25"/>
        <v/>
      </c>
      <c r="AC11" s="294" t="str">
        <f t="shared" ref="AC11:AF11" si="26">IF($P13="Transport",Q13,"")</f>
        <v/>
      </c>
      <c r="AD11" s="294" t="str">
        <f t="shared" si="26"/>
        <v/>
      </c>
      <c r="AE11" s="292" t="str">
        <f t="shared" si="26"/>
        <v/>
      </c>
      <c r="AF11" s="44" t="str">
        <f t="shared" si="26"/>
        <v/>
      </c>
      <c r="AI11" s="294" t="str">
        <f t="shared" ref="AI11:AL11" si="27">IF($P13="Necesitati biserica",Q13,"")</f>
        <v/>
      </c>
      <c r="AJ11" s="294" t="str">
        <f t="shared" si="27"/>
        <v/>
      </c>
      <c r="AK11" s="292" t="str">
        <f t="shared" si="27"/>
        <v/>
      </c>
      <c r="AL11" s="44" t="str">
        <f t="shared" si="27"/>
        <v/>
      </c>
      <c r="AO11" s="294" t="str">
        <f t="shared" ref="AO11:AR11" si="28">IF($P13="Materiale de constructie",Q13,"")</f>
        <v>Salonica Placa tavan</v>
      </c>
      <c r="AP11" s="294">
        <f t="shared" si="28"/>
        <v>45537</v>
      </c>
      <c r="AQ11" s="292">
        <f t="shared" si="28"/>
        <v>224</v>
      </c>
      <c r="AR11" s="44" t="str">
        <f t="shared" si="28"/>
        <v/>
      </c>
    </row>
    <row r="12">
      <c r="A12" s="44">
        <v>9.0</v>
      </c>
      <c r="B12" s="293" t="s">
        <v>32</v>
      </c>
      <c r="C12" s="155">
        <v>45526.0</v>
      </c>
      <c r="D12" s="294">
        <v>45526.0</v>
      </c>
      <c r="E12" s="295">
        <v>380.0</v>
      </c>
      <c r="F12" s="340" t="s">
        <v>332</v>
      </c>
      <c r="G12" s="296"/>
      <c r="H12" s="297"/>
      <c r="K12" s="44"/>
      <c r="L12" s="156"/>
      <c r="M12" s="292"/>
      <c r="N12" s="297"/>
      <c r="P12" s="303" t="s">
        <v>349</v>
      </c>
      <c r="Q12" s="352" t="s">
        <v>350</v>
      </c>
      <c r="R12" s="294">
        <v>45533.0</v>
      </c>
      <c r="S12" s="292">
        <v>100.0</v>
      </c>
      <c r="T12" s="297" t="s">
        <v>342</v>
      </c>
      <c r="W12" s="294" t="str">
        <f t="shared" ref="W12:Z12" si="29">IF($P12="Uz casnic",Q12,"")</f>
        <v/>
      </c>
      <c r="X12" s="294" t="str">
        <f t="shared" si="29"/>
        <v/>
      </c>
      <c r="Y12" s="292" t="str">
        <f t="shared" si="29"/>
        <v/>
      </c>
      <c r="Z12" s="44" t="str">
        <f t="shared" si="29"/>
        <v/>
      </c>
      <c r="AC12" s="294" t="str">
        <f t="shared" ref="AC12:AF12" si="30">IF($P14="Transport",Q14,"")</f>
        <v>Petrom</v>
      </c>
      <c r="AD12" s="294">
        <f t="shared" si="30"/>
        <v>45537</v>
      </c>
      <c r="AE12" s="292">
        <f t="shared" si="30"/>
        <v>100</v>
      </c>
      <c r="AF12" s="44" t="str">
        <f t="shared" si="30"/>
        <v/>
      </c>
      <c r="AI12" s="294" t="str">
        <f t="shared" ref="AI12:AL12" si="31">IF($P14="Necesitati biserica",Q14,"")</f>
        <v/>
      </c>
      <c r="AJ12" s="294" t="str">
        <f t="shared" si="31"/>
        <v/>
      </c>
      <c r="AK12" s="292" t="str">
        <f t="shared" si="31"/>
        <v/>
      </c>
      <c r="AL12" s="44" t="str">
        <f t="shared" si="31"/>
        <v/>
      </c>
      <c r="AO12" s="294" t="str">
        <f t="shared" ref="AO12:AR12" si="32">IF($P14="Materiale de constructie",Q14,"")</f>
        <v/>
      </c>
      <c r="AP12" s="294" t="str">
        <f t="shared" si="32"/>
        <v/>
      </c>
      <c r="AQ12" s="292" t="str">
        <f t="shared" si="32"/>
        <v/>
      </c>
      <c r="AR12" s="44" t="str">
        <f t="shared" si="32"/>
        <v/>
      </c>
    </row>
    <row r="13">
      <c r="A13" s="44">
        <v>10.0</v>
      </c>
      <c r="B13" s="293" t="s">
        <v>137</v>
      </c>
      <c r="C13" s="155">
        <v>45527.0</v>
      </c>
      <c r="D13" s="294">
        <v>45527.0</v>
      </c>
      <c r="E13" s="295">
        <v>500.0</v>
      </c>
      <c r="F13" s="340" t="s">
        <v>332</v>
      </c>
      <c r="G13" s="296"/>
      <c r="H13" s="297"/>
      <c r="K13" s="44"/>
      <c r="L13" s="156"/>
      <c r="M13" s="292"/>
      <c r="N13" s="297"/>
      <c r="P13" s="303" t="s">
        <v>330</v>
      </c>
      <c r="Q13" s="352" t="s">
        <v>351</v>
      </c>
      <c r="R13" s="294">
        <v>45537.0</v>
      </c>
      <c r="S13" s="292">
        <v>224.0</v>
      </c>
      <c r="T13" s="297"/>
      <c r="W13" s="294" t="str">
        <f t="shared" ref="W13:Z13" si="33">IF($P13="Uz casnic",Q13,"")</f>
        <v/>
      </c>
      <c r="X13" s="294" t="str">
        <f t="shared" si="33"/>
        <v/>
      </c>
      <c r="Y13" s="292" t="str">
        <f t="shared" si="33"/>
        <v/>
      </c>
      <c r="Z13" s="44" t="str">
        <f t="shared" si="33"/>
        <v/>
      </c>
      <c r="AC13" s="294" t="str">
        <f t="shared" ref="AC13:AF13" si="34">IF($P15="Transport",Q15,"")</f>
        <v>Petrom</v>
      </c>
      <c r="AD13" s="294">
        <f t="shared" si="34"/>
        <v>45538</v>
      </c>
      <c r="AE13" s="292">
        <f t="shared" si="34"/>
        <v>100</v>
      </c>
      <c r="AF13" s="44" t="str">
        <f t="shared" si="34"/>
        <v/>
      </c>
      <c r="AI13" s="294" t="str">
        <f t="shared" ref="AI13:AL13" si="35">IF($P15="Necesitati biserica",Q15,"")</f>
        <v/>
      </c>
      <c r="AJ13" s="294" t="str">
        <f t="shared" si="35"/>
        <v/>
      </c>
      <c r="AK13" s="292" t="str">
        <f t="shared" si="35"/>
        <v/>
      </c>
      <c r="AL13" s="44" t="str">
        <f t="shared" si="35"/>
        <v/>
      </c>
      <c r="AO13" s="294" t="str">
        <f t="shared" ref="AO13:AR13" si="36">IF($P15="Materiale de constructie",Q15,"")</f>
        <v/>
      </c>
      <c r="AP13" s="294" t="str">
        <f t="shared" si="36"/>
        <v/>
      </c>
      <c r="AQ13" s="292" t="str">
        <f t="shared" si="36"/>
        <v/>
      </c>
      <c r="AR13" s="44" t="str">
        <f t="shared" si="36"/>
        <v/>
      </c>
    </row>
    <row r="14">
      <c r="A14" s="44">
        <v>11.0</v>
      </c>
      <c r="B14" s="293" t="s">
        <v>271</v>
      </c>
      <c r="C14" s="155">
        <v>45527.0</v>
      </c>
      <c r="D14" s="294">
        <v>45527.0</v>
      </c>
      <c r="E14" s="295">
        <v>500.0</v>
      </c>
      <c r="F14" s="340" t="s">
        <v>332</v>
      </c>
      <c r="G14" s="296"/>
      <c r="H14" s="297"/>
      <c r="K14" s="44"/>
      <c r="L14" s="156"/>
      <c r="M14" s="292"/>
      <c r="N14" s="297"/>
      <c r="P14" s="303" t="s">
        <v>328</v>
      </c>
      <c r="Q14" s="352" t="s">
        <v>341</v>
      </c>
      <c r="R14" s="294">
        <v>45537.0</v>
      </c>
      <c r="S14" s="292">
        <v>100.0</v>
      </c>
      <c r="T14" s="297"/>
      <c r="W14" s="294" t="str">
        <f t="shared" ref="W14:Z14" si="37">IF($P14="Uz casnic",Q14,"")</f>
        <v/>
      </c>
      <c r="X14" s="294" t="str">
        <f t="shared" si="37"/>
        <v/>
      </c>
      <c r="Y14" s="292" t="str">
        <f t="shared" si="37"/>
        <v/>
      </c>
      <c r="Z14" s="44" t="str">
        <f t="shared" si="37"/>
        <v/>
      </c>
      <c r="AC14" s="294" t="str">
        <f t="shared" ref="AC14:AF14" si="38">IF($P16="Transport",Q16,"")</f>
        <v/>
      </c>
      <c r="AD14" s="294" t="str">
        <f t="shared" si="38"/>
        <v/>
      </c>
      <c r="AE14" s="292" t="str">
        <f t="shared" si="38"/>
        <v/>
      </c>
      <c r="AF14" s="44" t="str">
        <f t="shared" si="38"/>
        <v/>
      </c>
      <c r="AI14" s="294" t="str">
        <f t="shared" ref="AI14:AL14" si="39">IF($P16="Necesitati biserica",Q16,"")</f>
        <v/>
      </c>
      <c r="AJ14" s="294" t="str">
        <f t="shared" si="39"/>
        <v/>
      </c>
      <c r="AK14" s="292" t="str">
        <f t="shared" si="39"/>
        <v/>
      </c>
      <c r="AL14" s="44" t="str">
        <f t="shared" si="39"/>
        <v/>
      </c>
      <c r="AO14" s="294" t="str">
        <f t="shared" ref="AO14:AR14" si="40">IF($P16="Materiale de constructie",Q16,"")</f>
        <v>Salonica</v>
      </c>
      <c r="AP14" s="294">
        <f t="shared" si="40"/>
        <v>45539</v>
      </c>
      <c r="AQ14" s="292">
        <f t="shared" si="40"/>
        <v>137</v>
      </c>
      <c r="AR14" s="44" t="str">
        <f t="shared" si="40"/>
        <v/>
      </c>
    </row>
    <row r="15">
      <c r="A15" s="44">
        <v>12.0</v>
      </c>
      <c r="B15" s="293" t="s">
        <v>32</v>
      </c>
      <c r="C15" s="155">
        <v>45530.0</v>
      </c>
      <c r="D15" s="294">
        <v>45530.0</v>
      </c>
      <c r="E15" s="295">
        <v>440.0</v>
      </c>
      <c r="F15" s="340" t="s">
        <v>332</v>
      </c>
      <c r="G15" s="296"/>
      <c r="H15" s="297"/>
      <c r="K15" s="44"/>
      <c r="L15" s="156"/>
      <c r="M15" s="292"/>
      <c r="N15" s="297"/>
      <c r="P15" s="303" t="s">
        <v>328</v>
      </c>
      <c r="Q15" s="352" t="s">
        <v>341</v>
      </c>
      <c r="R15" s="294">
        <v>45538.0</v>
      </c>
      <c r="S15" s="292">
        <v>100.0</v>
      </c>
      <c r="T15" s="297"/>
      <c r="W15" s="294" t="str">
        <f t="shared" ref="W15:Z15" si="41">IF($P15="Uz casnic",Q15,"")</f>
        <v/>
      </c>
      <c r="X15" s="294" t="str">
        <f t="shared" si="41"/>
        <v/>
      </c>
      <c r="Y15" s="292" t="str">
        <f t="shared" si="41"/>
        <v/>
      </c>
      <c r="Z15" s="44" t="str">
        <f t="shared" si="41"/>
        <v/>
      </c>
      <c r="AC15" s="294" t="str">
        <f t="shared" ref="AC15:AF15" si="42">IF($P17="Transport",Q17,"")</f>
        <v/>
      </c>
      <c r="AD15" s="294" t="str">
        <f t="shared" si="42"/>
        <v/>
      </c>
      <c r="AE15" s="292" t="str">
        <f t="shared" si="42"/>
        <v/>
      </c>
      <c r="AF15" s="44" t="str">
        <f t="shared" si="42"/>
        <v/>
      </c>
      <c r="AI15" s="294" t="str">
        <f t="shared" ref="AI15:AL15" si="43">IF($P17="Necesitati biserica",Q17,"")</f>
        <v> </v>
      </c>
      <c r="AJ15" s="294">
        <f t="shared" si="43"/>
        <v>45539</v>
      </c>
      <c r="AK15" s="292">
        <f t="shared" si="43"/>
        <v>750</v>
      </c>
      <c r="AL15" s="44" t="str">
        <f t="shared" si="43"/>
        <v/>
      </c>
      <c r="AO15" s="294" t="str">
        <f t="shared" ref="AO15:AR15" si="44">IF($P17="Materiale de constructie",Q17,"")</f>
        <v/>
      </c>
      <c r="AP15" s="294" t="str">
        <f t="shared" si="44"/>
        <v/>
      </c>
      <c r="AQ15" s="292" t="str">
        <f t="shared" si="44"/>
        <v/>
      </c>
      <c r="AR15" s="44" t="str">
        <f t="shared" si="44"/>
        <v/>
      </c>
    </row>
    <row r="16">
      <c r="A16" s="44">
        <v>13.0</v>
      </c>
      <c r="B16" s="293" t="s">
        <v>133</v>
      </c>
      <c r="C16" s="155">
        <v>45530.0</v>
      </c>
      <c r="D16" s="294">
        <v>45530.0</v>
      </c>
      <c r="E16" s="295">
        <v>500.0</v>
      </c>
      <c r="F16" s="340" t="s">
        <v>332</v>
      </c>
      <c r="G16" s="296"/>
      <c r="H16" s="297"/>
      <c r="K16" s="44"/>
      <c r="L16" s="156"/>
      <c r="M16" s="292"/>
      <c r="N16" s="297"/>
      <c r="P16" s="303" t="s">
        <v>330</v>
      </c>
      <c r="Q16" s="352" t="s">
        <v>352</v>
      </c>
      <c r="R16" s="294">
        <v>45539.0</v>
      </c>
      <c r="S16" s="292">
        <v>137.0</v>
      </c>
      <c r="T16" s="297"/>
      <c r="W16" s="294" t="str">
        <f t="shared" ref="W16:Z16" si="45">IF($P16="Uz casnic",Q16,"")</f>
        <v/>
      </c>
      <c r="X16" s="294" t="str">
        <f t="shared" si="45"/>
        <v/>
      </c>
      <c r="Y16" s="292" t="str">
        <f t="shared" si="45"/>
        <v/>
      </c>
      <c r="Z16" s="44" t="str">
        <f t="shared" si="45"/>
        <v/>
      </c>
      <c r="AC16" s="294" t="str">
        <f t="shared" ref="AC16:AF16" si="46">IF($P18="Transport",Q18,"")</f>
        <v/>
      </c>
      <c r="AD16" s="294" t="str">
        <f t="shared" si="46"/>
        <v/>
      </c>
      <c r="AE16" s="292" t="str">
        <f t="shared" si="46"/>
        <v/>
      </c>
      <c r="AF16" s="44" t="str">
        <f t="shared" si="46"/>
        <v/>
      </c>
      <c r="AI16" s="294" t="str">
        <f t="shared" ref="AI16:AL16" si="47">IF($P18="Necesitati biserica",Q18,"")</f>
        <v/>
      </c>
      <c r="AJ16" s="294" t="str">
        <f t="shared" si="47"/>
        <v/>
      </c>
      <c r="AK16" s="292" t="str">
        <f t="shared" si="47"/>
        <v/>
      </c>
      <c r="AL16" s="44" t="str">
        <f t="shared" si="47"/>
        <v/>
      </c>
      <c r="AO16" s="294" t="str">
        <f t="shared" ref="AO16:AR16" si="48">IF($P18="Materiale de constructie",Q18,"")</f>
        <v/>
      </c>
      <c r="AP16" s="294" t="str">
        <f t="shared" si="48"/>
        <v/>
      </c>
      <c r="AQ16" s="292" t="str">
        <f t="shared" si="48"/>
        <v/>
      </c>
      <c r="AR16" s="44" t="str">
        <f t="shared" si="48"/>
        <v/>
      </c>
    </row>
    <row r="17">
      <c r="A17" s="44">
        <v>14.0</v>
      </c>
      <c r="B17" s="293" t="s">
        <v>300</v>
      </c>
      <c r="C17" s="155">
        <v>45531.0</v>
      </c>
      <c r="D17" s="294">
        <v>45531.0</v>
      </c>
      <c r="E17" s="295">
        <v>500.0</v>
      </c>
      <c r="F17" s="340" t="s">
        <v>332</v>
      </c>
      <c r="G17" s="296"/>
      <c r="H17" s="297"/>
      <c r="K17" s="44"/>
      <c r="L17" s="156"/>
      <c r="M17" s="292"/>
      <c r="N17" s="297"/>
      <c r="P17" s="303" t="s">
        <v>349</v>
      </c>
      <c r="Q17" s="352" t="s">
        <v>1</v>
      </c>
      <c r="R17" s="294">
        <v>45539.0</v>
      </c>
      <c r="S17" s="292">
        <v>750.0</v>
      </c>
      <c r="T17" s="297"/>
      <c r="W17" s="294" t="str">
        <f t="shared" ref="W17:Z17" si="49">IF($P17="Uz casnic",Q17,"")</f>
        <v/>
      </c>
      <c r="X17" s="294" t="str">
        <f t="shared" si="49"/>
        <v/>
      </c>
      <c r="Y17" s="292" t="str">
        <f t="shared" si="49"/>
        <v/>
      </c>
      <c r="Z17" s="44" t="str">
        <f t="shared" si="49"/>
        <v/>
      </c>
      <c r="AC17" s="294" t="str">
        <f t="shared" ref="AC17:AF17" si="50">IF($P19="Transport",Q19,"")</f>
        <v/>
      </c>
      <c r="AD17" s="294" t="str">
        <f t="shared" si="50"/>
        <v/>
      </c>
      <c r="AE17" s="292" t="str">
        <f t="shared" si="50"/>
        <v/>
      </c>
      <c r="AF17" s="44" t="str">
        <f t="shared" si="50"/>
        <v/>
      </c>
      <c r="AI17" s="294" t="str">
        <f t="shared" ref="AI17:AL17" si="51">IF($P19="Necesitati biserica",Q19,"")</f>
        <v/>
      </c>
      <c r="AJ17" s="294" t="str">
        <f t="shared" si="51"/>
        <v/>
      </c>
      <c r="AK17" s="292" t="str">
        <f t="shared" si="51"/>
        <v/>
      </c>
      <c r="AL17" s="44" t="str">
        <f t="shared" si="51"/>
        <v/>
      </c>
      <c r="AO17" s="294" t="str">
        <f t="shared" ref="AO17:AR17" si="52">IF($P19="Materiale de constructie",Q19,"")</f>
        <v/>
      </c>
      <c r="AP17" s="294" t="str">
        <f t="shared" si="52"/>
        <v/>
      </c>
      <c r="AQ17" s="292" t="str">
        <f t="shared" si="52"/>
        <v/>
      </c>
      <c r="AR17" s="44" t="str">
        <f t="shared" si="52"/>
        <v/>
      </c>
    </row>
    <row r="18">
      <c r="A18" s="44">
        <v>15.0</v>
      </c>
      <c r="B18" s="293" t="s">
        <v>26</v>
      </c>
      <c r="C18" s="155">
        <v>45532.0</v>
      </c>
      <c r="D18" s="294">
        <v>45532.0</v>
      </c>
      <c r="E18" s="295">
        <v>500.0</v>
      </c>
      <c r="F18" s="340" t="s">
        <v>332</v>
      </c>
      <c r="G18" s="296"/>
      <c r="H18" s="297"/>
      <c r="K18" s="44"/>
      <c r="L18" s="156"/>
      <c r="M18" s="292"/>
      <c r="N18" s="297"/>
      <c r="P18" s="349" t="s">
        <v>336</v>
      </c>
      <c r="Q18" s="352" t="s">
        <v>353</v>
      </c>
      <c r="R18" s="294">
        <v>45541.0</v>
      </c>
      <c r="S18" s="292">
        <v>199.96</v>
      </c>
      <c r="T18" s="297"/>
      <c r="W18" s="294" t="str">
        <f t="shared" ref="W18:Z18" si="53">IF($P18="Uz casnic",Q18,"")</f>
        <v>Sacose, belizna</v>
      </c>
      <c r="X18" s="294">
        <f t="shared" si="53"/>
        <v>45541</v>
      </c>
      <c r="Y18" s="292">
        <f t="shared" si="53"/>
        <v>199.96</v>
      </c>
      <c r="Z18" s="44" t="str">
        <f t="shared" si="53"/>
        <v/>
      </c>
      <c r="AC18" s="294" t="str">
        <f t="shared" ref="AC18:AF18" si="54">IF($P20="Transport",Q20,"")</f>
        <v/>
      </c>
      <c r="AD18" s="294" t="str">
        <f t="shared" si="54"/>
        <v/>
      </c>
      <c r="AE18" s="292" t="str">
        <f t="shared" si="54"/>
        <v/>
      </c>
      <c r="AF18" s="44" t="str">
        <f t="shared" si="54"/>
        <v/>
      </c>
      <c r="AI18" s="294" t="str">
        <f t="shared" ref="AI18:AL18" si="55">IF($P20="Necesitati biserica",Q20,"")</f>
        <v>Tricouri botez</v>
      </c>
      <c r="AJ18" s="294">
        <f t="shared" si="55"/>
        <v>45541</v>
      </c>
      <c r="AK18" s="292">
        <f t="shared" si="55"/>
        <v>1260</v>
      </c>
      <c r="AL18" s="44" t="str">
        <f t="shared" si="55"/>
        <v/>
      </c>
      <c r="AO18" s="294" t="str">
        <f t="shared" ref="AO18:AR18" si="56">IF($P20="Materiale de constructie",Q20,"")</f>
        <v/>
      </c>
      <c r="AP18" s="294" t="str">
        <f t="shared" si="56"/>
        <v/>
      </c>
      <c r="AQ18" s="292" t="str">
        <f t="shared" si="56"/>
        <v/>
      </c>
      <c r="AR18" s="44" t="str">
        <f t="shared" si="56"/>
        <v/>
      </c>
    </row>
    <row r="19">
      <c r="A19" s="44">
        <v>16.0</v>
      </c>
      <c r="B19" s="293" t="s">
        <v>354</v>
      </c>
      <c r="C19" s="155">
        <v>45532.0</v>
      </c>
      <c r="D19" s="294">
        <v>45532.0</v>
      </c>
      <c r="E19" s="295">
        <v>20.0</v>
      </c>
      <c r="F19" s="340" t="s">
        <v>332</v>
      </c>
      <c r="G19" s="296"/>
      <c r="H19" s="297" t="s">
        <v>355</v>
      </c>
      <c r="K19" s="44"/>
      <c r="L19" s="156"/>
      <c r="M19" s="292"/>
      <c r="N19" s="297"/>
      <c r="P19" s="349" t="s">
        <v>336</v>
      </c>
      <c r="Q19" s="352" t="s">
        <v>356</v>
      </c>
      <c r="R19" s="294">
        <v>45541.0</v>
      </c>
      <c r="S19" s="292">
        <v>198.5</v>
      </c>
      <c r="T19" s="297"/>
      <c r="W19" s="294" t="str">
        <f t="shared" ref="W19:Z19" si="57">IF($P19="Uz casnic",Q19,"")</f>
        <v>Solutie Podea</v>
      </c>
      <c r="X19" s="294">
        <f t="shared" si="57"/>
        <v>45541</v>
      </c>
      <c r="Y19" s="292">
        <f t="shared" si="57"/>
        <v>198.5</v>
      </c>
      <c r="Z19" s="44" t="str">
        <f t="shared" si="57"/>
        <v/>
      </c>
      <c r="AC19" s="294" t="str">
        <f t="shared" ref="AC19:AF19" si="58">IF($P21="Transport",Q21,"")</f>
        <v>Petrom</v>
      </c>
      <c r="AD19" s="294">
        <f t="shared" si="58"/>
        <v>45541</v>
      </c>
      <c r="AE19" s="292">
        <f t="shared" si="58"/>
        <v>60</v>
      </c>
      <c r="AF19" s="44" t="str">
        <f t="shared" si="58"/>
        <v>Fara cec</v>
      </c>
      <c r="AI19" s="294" t="str">
        <f t="shared" ref="AI19:AL19" si="59">IF($P21="Necesitati biserica",Q21,"")</f>
        <v/>
      </c>
      <c r="AJ19" s="294" t="str">
        <f t="shared" si="59"/>
        <v/>
      </c>
      <c r="AK19" s="292" t="str">
        <f t="shared" si="59"/>
        <v/>
      </c>
      <c r="AL19" s="44" t="str">
        <f t="shared" si="59"/>
        <v/>
      </c>
      <c r="AO19" s="294" t="str">
        <f t="shared" ref="AO19:AR19" si="60">IF($P21="Materiale de constructie",Q21,"")</f>
        <v/>
      </c>
      <c r="AP19" s="294" t="str">
        <f t="shared" si="60"/>
        <v/>
      </c>
      <c r="AQ19" s="292" t="str">
        <f t="shared" si="60"/>
        <v/>
      </c>
      <c r="AR19" s="44" t="str">
        <f t="shared" si="60"/>
        <v/>
      </c>
    </row>
    <row r="20">
      <c r="A20" s="44">
        <v>17.0</v>
      </c>
      <c r="B20" s="293" t="s">
        <v>32</v>
      </c>
      <c r="C20" s="155">
        <v>45533.0</v>
      </c>
      <c r="D20" s="294">
        <v>45533.0</v>
      </c>
      <c r="E20" s="295">
        <v>325.0</v>
      </c>
      <c r="F20" s="340" t="s">
        <v>332</v>
      </c>
      <c r="G20" s="296"/>
      <c r="H20" s="297"/>
      <c r="K20" s="44"/>
      <c r="L20" s="156"/>
      <c r="M20" s="292"/>
      <c r="N20" s="297"/>
      <c r="P20" s="303" t="s">
        <v>349</v>
      </c>
      <c r="Q20" s="352" t="s">
        <v>357</v>
      </c>
      <c r="R20" s="294">
        <v>45541.0</v>
      </c>
      <c r="S20" s="292">
        <v>1260.0</v>
      </c>
      <c r="T20" s="297"/>
      <c r="W20" s="294" t="str">
        <f t="shared" ref="W20:Z20" si="61">IF($P20="Uz casnic",Q20,"")</f>
        <v/>
      </c>
      <c r="X20" s="294" t="str">
        <f t="shared" si="61"/>
        <v/>
      </c>
      <c r="Y20" s="292" t="str">
        <f t="shared" si="61"/>
        <v/>
      </c>
      <c r="Z20" s="44" t="str">
        <f t="shared" si="61"/>
        <v/>
      </c>
      <c r="AC20" s="294" t="str">
        <f t="shared" ref="AC20:AF20" si="62">IF($P22="Transport",Q22,"")</f>
        <v/>
      </c>
      <c r="AD20" s="294" t="str">
        <f t="shared" si="62"/>
        <v/>
      </c>
      <c r="AE20" s="292" t="str">
        <f t="shared" si="62"/>
        <v/>
      </c>
      <c r="AF20" s="44" t="str">
        <f t="shared" si="62"/>
        <v/>
      </c>
      <c r="AI20" s="294" t="str">
        <f t="shared" ref="AI20:AL20" si="63">IF($P22="Necesitati biserica",Q22,"")</f>
        <v>Produse botez</v>
      </c>
      <c r="AJ20" s="294">
        <f t="shared" si="63"/>
        <v>45542</v>
      </c>
      <c r="AK20" s="292">
        <f t="shared" si="63"/>
        <v>1837.93</v>
      </c>
      <c r="AL20" s="44" t="str">
        <f t="shared" si="63"/>
        <v/>
      </c>
      <c r="AO20" s="294" t="str">
        <f t="shared" ref="AO20:AR20" si="64">IF($P22="Materiale de constructie",Q22,"")</f>
        <v/>
      </c>
      <c r="AP20" s="294" t="str">
        <f t="shared" si="64"/>
        <v/>
      </c>
      <c r="AQ20" s="292" t="str">
        <f t="shared" si="64"/>
        <v/>
      </c>
      <c r="AR20" s="44" t="str">
        <f t="shared" si="64"/>
        <v/>
      </c>
    </row>
    <row r="21" ht="15.75" customHeight="1">
      <c r="A21" s="44">
        <v>18.0</v>
      </c>
      <c r="B21" s="293" t="s">
        <v>358</v>
      </c>
      <c r="C21" s="155">
        <v>45534.0</v>
      </c>
      <c r="D21" s="294">
        <v>45534.0</v>
      </c>
      <c r="E21" s="295">
        <v>500.0</v>
      </c>
      <c r="F21" s="340" t="s">
        <v>332</v>
      </c>
      <c r="G21" s="296"/>
      <c r="H21" s="297"/>
      <c r="K21" s="44"/>
      <c r="L21" s="156"/>
      <c r="M21" s="292"/>
      <c r="N21" s="297"/>
      <c r="P21" s="303" t="s">
        <v>328</v>
      </c>
      <c r="Q21" s="352" t="s">
        <v>341</v>
      </c>
      <c r="R21" s="294">
        <v>45541.0</v>
      </c>
      <c r="S21" s="292">
        <v>60.0</v>
      </c>
      <c r="T21" s="297" t="s">
        <v>359</v>
      </c>
      <c r="W21" s="294" t="str">
        <f t="shared" ref="W21:Z21" si="65">IF($P21="Uz casnic",Q21,"")</f>
        <v/>
      </c>
      <c r="X21" s="294" t="str">
        <f t="shared" si="65"/>
        <v/>
      </c>
      <c r="Y21" s="292" t="str">
        <f t="shared" si="65"/>
        <v/>
      </c>
      <c r="Z21" s="44" t="str">
        <f t="shared" si="65"/>
        <v/>
      </c>
      <c r="AC21" s="294" t="str">
        <f t="shared" ref="AC21:AF21" si="66">IF($P23="Transport",Q23,"")</f>
        <v/>
      </c>
      <c r="AD21" s="294" t="str">
        <f t="shared" si="66"/>
        <v/>
      </c>
      <c r="AE21" s="292" t="str">
        <f t="shared" si="66"/>
        <v/>
      </c>
      <c r="AF21" s="44" t="str">
        <f t="shared" si="66"/>
        <v/>
      </c>
      <c r="AI21" s="294" t="str">
        <f t="shared" ref="AI21:AL21" si="67">IF($P23="Necesitati biserica",Q23,"")</f>
        <v/>
      </c>
      <c r="AJ21" s="294" t="str">
        <f t="shared" si="67"/>
        <v/>
      </c>
      <c r="AK21" s="292" t="str">
        <f t="shared" si="67"/>
        <v/>
      </c>
      <c r="AL21" s="44" t="str">
        <f t="shared" si="67"/>
        <v/>
      </c>
      <c r="AO21" s="294" t="str">
        <f t="shared" ref="AO21:AR21" si="68">IF($P23="Materiale de constructie",Q23,"")</f>
        <v/>
      </c>
      <c r="AP21" s="294" t="str">
        <f t="shared" si="68"/>
        <v/>
      </c>
      <c r="AQ21" s="292" t="str">
        <f t="shared" si="68"/>
        <v/>
      </c>
      <c r="AR21" s="44" t="str">
        <f t="shared" si="68"/>
        <v/>
      </c>
    </row>
    <row r="22" ht="15.75" customHeight="1">
      <c r="A22" s="44">
        <v>19.0</v>
      </c>
      <c r="B22" s="293" t="s">
        <v>137</v>
      </c>
      <c r="C22" s="155">
        <v>45534.0</v>
      </c>
      <c r="D22" s="294">
        <v>45534.0</v>
      </c>
      <c r="E22" s="295">
        <v>500.0</v>
      </c>
      <c r="F22" s="340" t="s">
        <v>332</v>
      </c>
      <c r="G22" s="296"/>
      <c r="H22" s="297"/>
      <c r="K22" s="44"/>
      <c r="L22" s="156"/>
      <c r="M22" s="292"/>
      <c r="N22" s="297"/>
      <c r="P22" s="303" t="s">
        <v>349</v>
      </c>
      <c r="Q22" s="352" t="s">
        <v>360</v>
      </c>
      <c r="R22" s="294">
        <v>45542.0</v>
      </c>
      <c r="S22" s="292">
        <v>1837.93</v>
      </c>
      <c r="T22" s="297"/>
      <c r="W22" s="294" t="str">
        <f t="shared" ref="W22:Z22" si="69">IF($P22="Uz casnic",Q22,"")</f>
        <v/>
      </c>
      <c r="X22" s="294" t="str">
        <f t="shared" si="69"/>
        <v/>
      </c>
      <c r="Y22" s="292" t="str">
        <f t="shared" si="69"/>
        <v/>
      </c>
      <c r="Z22" s="44" t="str">
        <f t="shared" si="69"/>
        <v/>
      </c>
      <c r="AC22" s="294" t="str">
        <f t="shared" ref="AC22:AF22" si="70">IF($P24="Transport",Q24,"")</f>
        <v>Petrom</v>
      </c>
      <c r="AD22" s="294">
        <f t="shared" si="70"/>
        <v>45542</v>
      </c>
      <c r="AE22" s="292">
        <f t="shared" si="70"/>
        <v>60</v>
      </c>
      <c r="AF22" s="44" t="str">
        <f t="shared" si="70"/>
        <v>Fara cec</v>
      </c>
      <c r="AI22" s="294" t="str">
        <f t="shared" ref="AI22:AL22" si="71">IF($P24="Necesitati biserica",Q24,"")</f>
        <v/>
      </c>
      <c r="AJ22" s="294" t="str">
        <f t="shared" si="71"/>
        <v/>
      </c>
      <c r="AK22" s="292" t="str">
        <f t="shared" si="71"/>
        <v/>
      </c>
      <c r="AL22" s="44" t="str">
        <f t="shared" si="71"/>
        <v/>
      </c>
      <c r="AO22" s="294" t="str">
        <f t="shared" ref="AO22:AR22" si="72">IF($P24="Materiale de constructie",Q24,"")</f>
        <v/>
      </c>
      <c r="AP22" s="294" t="str">
        <f t="shared" si="72"/>
        <v/>
      </c>
      <c r="AQ22" s="292" t="str">
        <f t="shared" si="72"/>
        <v/>
      </c>
      <c r="AR22" s="44" t="str">
        <f t="shared" si="72"/>
        <v/>
      </c>
    </row>
    <row r="23" ht="15.75" customHeight="1">
      <c r="A23" s="44">
        <v>20.0</v>
      </c>
      <c r="B23" s="293" t="s">
        <v>271</v>
      </c>
      <c r="C23" s="155">
        <v>45534.0</v>
      </c>
      <c r="D23" s="294">
        <v>45534.0</v>
      </c>
      <c r="E23" s="295">
        <v>500.0</v>
      </c>
      <c r="F23" s="340" t="s">
        <v>332</v>
      </c>
      <c r="G23" s="296"/>
      <c r="H23" s="297"/>
      <c r="K23" s="44"/>
      <c r="L23" s="156"/>
      <c r="M23" s="292"/>
      <c r="N23" s="297"/>
      <c r="P23" s="349" t="s">
        <v>336</v>
      </c>
      <c r="Q23" s="352" t="s">
        <v>361</v>
      </c>
      <c r="R23" s="294">
        <v>45542.0</v>
      </c>
      <c r="S23" s="292">
        <v>289.0</v>
      </c>
      <c r="T23" s="297"/>
      <c r="W23" s="294" t="str">
        <f t="shared" ref="W23:Z23" si="73">IF($P23="Uz casnic",Q23,"")</f>
        <v>Pahare terminal</v>
      </c>
      <c r="X23" s="294">
        <f t="shared" si="73"/>
        <v>45542</v>
      </c>
      <c r="Y23" s="292">
        <f t="shared" si="73"/>
        <v>289</v>
      </c>
      <c r="Z23" s="44" t="str">
        <f t="shared" si="73"/>
        <v/>
      </c>
      <c r="AC23" s="294" t="str">
        <f t="shared" ref="AC23:AF23" si="74">IF($P25="Transport",Q25,"")</f>
        <v/>
      </c>
      <c r="AD23" s="294" t="str">
        <f t="shared" si="74"/>
        <v/>
      </c>
      <c r="AE23" s="292" t="str">
        <f t="shared" si="74"/>
        <v/>
      </c>
      <c r="AF23" s="44" t="str">
        <f t="shared" si="74"/>
        <v/>
      </c>
      <c r="AI23" s="294" t="str">
        <f t="shared" ref="AI23:AL23" si="75">IF($P25="Necesitati biserica",Q25,"")</f>
        <v/>
      </c>
      <c r="AJ23" s="294" t="str">
        <f t="shared" si="75"/>
        <v/>
      </c>
      <c r="AK23" s="292" t="str">
        <f t="shared" si="75"/>
        <v/>
      </c>
      <c r="AL23" s="44" t="str">
        <f t="shared" si="75"/>
        <v/>
      </c>
      <c r="AO23" s="294" t="str">
        <f t="shared" ref="AO23:AR23" si="76">IF($P25="Materiale de constructie",Q25,"")</f>
        <v/>
      </c>
      <c r="AP23" s="294" t="str">
        <f t="shared" si="76"/>
        <v/>
      </c>
      <c r="AQ23" s="292" t="str">
        <f t="shared" si="76"/>
        <v/>
      </c>
      <c r="AR23" s="44" t="str">
        <f t="shared" si="76"/>
        <v/>
      </c>
    </row>
    <row r="24" ht="15.75" customHeight="1">
      <c r="A24" s="44">
        <v>21.0</v>
      </c>
      <c r="B24" s="293" t="s">
        <v>133</v>
      </c>
      <c r="C24" s="155">
        <v>45537.0</v>
      </c>
      <c r="D24" s="294">
        <v>45537.0</v>
      </c>
      <c r="E24" s="295">
        <v>500.0</v>
      </c>
      <c r="F24" s="340" t="s">
        <v>332</v>
      </c>
      <c r="G24" s="296"/>
      <c r="H24" s="297"/>
      <c r="K24" s="44"/>
      <c r="L24" s="156"/>
      <c r="M24" s="292"/>
      <c r="N24" s="297"/>
      <c r="P24" s="303" t="s">
        <v>328</v>
      </c>
      <c r="Q24" s="352" t="s">
        <v>341</v>
      </c>
      <c r="R24" s="294">
        <v>45542.0</v>
      </c>
      <c r="S24" s="292">
        <v>60.0</v>
      </c>
      <c r="T24" s="297" t="s">
        <v>359</v>
      </c>
      <c r="W24" s="294" t="str">
        <f t="shared" ref="W24:Z24" si="77">IF($P24="Uz casnic",Q24,"")</f>
        <v/>
      </c>
      <c r="X24" s="294" t="str">
        <f t="shared" si="77"/>
        <v/>
      </c>
      <c r="Y24" s="292" t="str">
        <f t="shared" si="77"/>
        <v/>
      </c>
      <c r="Z24" s="44" t="str">
        <f t="shared" si="77"/>
        <v/>
      </c>
      <c r="AC24" s="294" t="str">
        <f t="shared" ref="AC24:AF24" si="78">IF($P26="Transport",Q26,"")</f>
        <v>Taxi Sora Natasha </v>
      </c>
      <c r="AD24" s="294">
        <f t="shared" si="78"/>
        <v>45544</v>
      </c>
      <c r="AE24" s="292">
        <f t="shared" si="78"/>
        <v>50</v>
      </c>
      <c r="AF24" s="44" t="str">
        <f t="shared" si="78"/>
        <v>Fara cec</v>
      </c>
      <c r="AI24" s="294" t="str">
        <f t="shared" ref="AI24:AL24" si="79">IF($P26="Necesitati biserica",Q26,"")</f>
        <v/>
      </c>
      <c r="AJ24" s="294" t="str">
        <f t="shared" si="79"/>
        <v/>
      </c>
      <c r="AK24" s="292" t="str">
        <f t="shared" si="79"/>
        <v/>
      </c>
      <c r="AL24" s="44" t="str">
        <f t="shared" si="79"/>
        <v/>
      </c>
      <c r="AO24" s="294" t="str">
        <f t="shared" ref="AO24:AR24" si="80">IF($P26="Materiale de constructie",Q26,"")</f>
        <v/>
      </c>
      <c r="AP24" s="294" t="str">
        <f t="shared" si="80"/>
        <v/>
      </c>
      <c r="AQ24" s="292" t="str">
        <f t="shared" si="80"/>
        <v/>
      </c>
      <c r="AR24" s="44" t="str">
        <f t="shared" si="80"/>
        <v/>
      </c>
    </row>
    <row r="25" ht="15.75" customHeight="1">
      <c r="A25" s="44">
        <v>22.0</v>
      </c>
      <c r="B25" s="293" t="s">
        <v>300</v>
      </c>
      <c r="C25" s="155">
        <v>45538.0</v>
      </c>
      <c r="D25" s="294">
        <v>45538.0</v>
      </c>
      <c r="E25" s="295">
        <v>500.0</v>
      </c>
      <c r="F25" s="340" t="s">
        <v>332</v>
      </c>
      <c r="G25" s="296"/>
      <c r="H25" s="297"/>
      <c r="K25" s="44"/>
      <c r="L25" s="156"/>
      <c r="M25" s="292"/>
      <c r="N25" s="297"/>
      <c r="P25" s="349" t="s">
        <v>336</v>
      </c>
      <c r="Q25" s="352" t="s">
        <v>362</v>
      </c>
      <c r="R25" s="294">
        <v>45544.0</v>
      </c>
      <c r="S25" s="292">
        <v>359.0</v>
      </c>
      <c r="T25" s="297"/>
      <c r="W25" s="294" t="str">
        <f t="shared" ref="W25:Z25" si="81">IF($P25="Uz casnic",Q25,"")</f>
        <v>Ariel pernute</v>
      </c>
      <c r="X25" s="294">
        <f t="shared" si="81"/>
        <v>45544</v>
      </c>
      <c r="Y25" s="292">
        <f t="shared" si="81"/>
        <v>359</v>
      </c>
      <c r="Z25" s="44" t="str">
        <f t="shared" si="81"/>
        <v/>
      </c>
      <c r="AC25" s="294" t="str">
        <f t="shared" ref="AC25:AF25" si="82">IF($P27="Transport",Q27,"")</f>
        <v/>
      </c>
      <c r="AD25" s="294" t="str">
        <f t="shared" si="82"/>
        <v/>
      </c>
      <c r="AE25" s="292" t="str">
        <f t="shared" si="82"/>
        <v/>
      </c>
      <c r="AF25" s="44" t="str">
        <f t="shared" si="82"/>
        <v/>
      </c>
      <c r="AI25" s="294" t="str">
        <f t="shared" ref="AI25:AL25" si="83">IF($P27="Necesitati biserica",Q27,"")</f>
        <v/>
      </c>
      <c r="AJ25" s="294" t="str">
        <f t="shared" si="83"/>
        <v/>
      </c>
      <c r="AK25" s="292" t="str">
        <f t="shared" si="83"/>
        <v/>
      </c>
      <c r="AL25" s="44" t="str">
        <f t="shared" si="83"/>
        <v/>
      </c>
      <c r="AO25" s="294" t="str">
        <f t="shared" ref="AO25:AR25" si="84">IF($P27="Materiale de constructie",Q27,"")</f>
        <v/>
      </c>
      <c r="AP25" s="294" t="str">
        <f t="shared" si="84"/>
        <v/>
      </c>
      <c r="AQ25" s="292" t="str">
        <f t="shared" si="84"/>
        <v/>
      </c>
      <c r="AR25" s="44" t="str">
        <f t="shared" si="84"/>
        <v/>
      </c>
    </row>
    <row r="26" ht="15.75" customHeight="1">
      <c r="A26" s="44">
        <v>23.0</v>
      </c>
      <c r="B26" s="293" t="s">
        <v>26</v>
      </c>
      <c r="C26" s="155">
        <v>45539.0</v>
      </c>
      <c r="D26" s="294">
        <v>45539.0</v>
      </c>
      <c r="E26" s="295">
        <v>500.0</v>
      </c>
      <c r="F26" s="340" t="s">
        <v>332</v>
      </c>
      <c r="G26" s="296"/>
      <c r="H26" s="297"/>
      <c r="K26" s="44"/>
      <c r="L26" s="156"/>
      <c r="M26" s="292"/>
      <c r="N26" s="297"/>
      <c r="P26" s="303" t="s">
        <v>328</v>
      </c>
      <c r="Q26" s="352" t="s">
        <v>363</v>
      </c>
      <c r="R26" s="294">
        <v>45544.0</v>
      </c>
      <c r="S26" s="292">
        <v>50.0</v>
      </c>
      <c r="T26" s="297" t="s">
        <v>359</v>
      </c>
      <c r="W26" s="294" t="str">
        <f t="shared" ref="W26:Z26" si="85">IF($P26="Uz casnic",Q26,"")</f>
        <v/>
      </c>
      <c r="X26" s="294" t="str">
        <f t="shared" si="85"/>
        <v/>
      </c>
      <c r="Y26" s="292" t="str">
        <f t="shared" si="85"/>
        <v/>
      </c>
      <c r="Z26" s="44" t="str">
        <f t="shared" si="85"/>
        <v/>
      </c>
      <c r="AC26" s="294" t="str">
        <f t="shared" ref="AC26:AF26" si="86">IF($P28="Transport",Q28,"")</f>
        <v/>
      </c>
      <c r="AD26" s="294" t="str">
        <f t="shared" si="86"/>
        <v/>
      </c>
      <c r="AE26" s="292" t="str">
        <f t="shared" si="86"/>
        <v/>
      </c>
      <c r="AF26" s="44" t="str">
        <f t="shared" si="86"/>
        <v/>
      </c>
      <c r="AI26" s="294" t="str">
        <f t="shared" ref="AI26:AL26" si="87">IF($P28="Necesitati biserica",Q28,"")</f>
        <v/>
      </c>
      <c r="AJ26" s="294" t="str">
        <f t="shared" si="87"/>
        <v/>
      </c>
      <c r="AK26" s="292" t="str">
        <f t="shared" si="87"/>
        <v/>
      </c>
      <c r="AL26" s="44" t="str">
        <f t="shared" si="87"/>
        <v/>
      </c>
      <c r="AO26" s="294" t="str">
        <f t="shared" ref="AO26:AR26" si="88">IF($P28="Materiale de constructie",Q28,"")</f>
        <v/>
      </c>
      <c r="AP26" s="294" t="str">
        <f t="shared" si="88"/>
        <v/>
      </c>
      <c r="AQ26" s="292" t="str">
        <f t="shared" si="88"/>
        <v/>
      </c>
      <c r="AR26" s="44" t="str">
        <f t="shared" si="88"/>
        <v/>
      </c>
    </row>
    <row r="27" ht="15.75" customHeight="1">
      <c r="A27" s="44">
        <v>24.0</v>
      </c>
      <c r="B27" s="293" t="s">
        <v>300</v>
      </c>
      <c r="C27" s="155">
        <v>45541.0</v>
      </c>
      <c r="D27" s="294">
        <v>45541.0</v>
      </c>
      <c r="E27" s="295">
        <v>500.0</v>
      </c>
      <c r="F27" s="340" t="s">
        <v>332</v>
      </c>
      <c r="G27" s="296"/>
      <c r="H27" s="297"/>
      <c r="K27" s="44"/>
      <c r="L27" s="156"/>
      <c r="M27" s="292"/>
      <c r="N27" s="297"/>
      <c r="P27" s="303"/>
      <c r="Q27" s="352"/>
      <c r="R27" s="294"/>
      <c r="S27" s="292"/>
      <c r="T27" s="297"/>
      <c r="W27" s="294" t="str">
        <f t="shared" ref="W27:Z27" si="89">IF($P27="Uz casnic",Q27,"")</f>
        <v/>
      </c>
      <c r="X27" s="294" t="str">
        <f t="shared" si="89"/>
        <v/>
      </c>
      <c r="Y27" s="292" t="str">
        <f t="shared" si="89"/>
        <v/>
      </c>
      <c r="Z27" s="44" t="str">
        <f t="shared" si="89"/>
        <v/>
      </c>
      <c r="AC27" s="294" t="str">
        <f t="shared" ref="AC27:AF27" si="90">IF($P29="Transport",Q29,"")</f>
        <v/>
      </c>
      <c r="AD27" s="294" t="str">
        <f t="shared" si="90"/>
        <v/>
      </c>
      <c r="AE27" s="292" t="str">
        <f t="shared" si="90"/>
        <v/>
      </c>
      <c r="AF27" s="44" t="str">
        <f t="shared" si="90"/>
        <v/>
      </c>
      <c r="AI27" s="294" t="str">
        <f t="shared" ref="AI27:AL27" si="91">IF($P29="Necesitati biserica",Q29,"")</f>
        <v/>
      </c>
      <c r="AJ27" s="294" t="str">
        <f t="shared" si="91"/>
        <v/>
      </c>
      <c r="AK27" s="292" t="str">
        <f t="shared" si="91"/>
        <v/>
      </c>
      <c r="AL27" s="44" t="str">
        <f t="shared" si="91"/>
        <v/>
      </c>
      <c r="AO27" s="294" t="str">
        <f t="shared" ref="AO27:AR27" si="92">IF($P29="Materiale de constructie",Q29,"")</f>
        <v/>
      </c>
      <c r="AP27" s="294" t="str">
        <f t="shared" si="92"/>
        <v/>
      </c>
      <c r="AQ27" s="292" t="str">
        <f t="shared" si="92"/>
        <v/>
      </c>
      <c r="AR27" s="44" t="str">
        <f t="shared" si="92"/>
        <v/>
      </c>
    </row>
    <row r="28" ht="15.75" customHeight="1">
      <c r="A28" s="44">
        <v>25.0</v>
      </c>
      <c r="B28" s="293" t="s">
        <v>364</v>
      </c>
      <c r="C28" s="155">
        <v>45541.0</v>
      </c>
      <c r="D28" s="294">
        <v>45541.0</v>
      </c>
      <c r="E28" s="295">
        <v>500.0</v>
      </c>
      <c r="F28" s="340" t="s">
        <v>332</v>
      </c>
      <c r="G28" s="296"/>
      <c r="H28" s="297"/>
      <c r="K28" s="44"/>
      <c r="L28" s="156"/>
      <c r="M28" s="292"/>
      <c r="N28" s="297"/>
      <c r="P28" s="303"/>
      <c r="Q28" s="352"/>
      <c r="R28" s="294"/>
      <c r="S28" s="292"/>
      <c r="T28" s="297"/>
      <c r="W28" s="294" t="str">
        <f t="shared" ref="W28:Z28" si="93">IF($P28="Uz casnic",Q28,"")</f>
        <v/>
      </c>
      <c r="X28" s="294" t="str">
        <f t="shared" si="93"/>
        <v/>
      </c>
      <c r="Y28" s="292" t="str">
        <f t="shared" si="93"/>
        <v/>
      </c>
      <c r="Z28" s="44" t="str">
        <f t="shared" si="93"/>
        <v/>
      </c>
      <c r="AC28" s="294" t="str">
        <f t="shared" ref="AC28:AF28" si="94">IF($P30="Transport",Q30,"")</f>
        <v/>
      </c>
      <c r="AD28" s="294" t="str">
        <f t="shared" si="94"/>
        <v/>
      </c>
      <c r="AE28" s="292" t="str">
        <f t="shared" si="94"/>
        <v/>
      </c>
      <c r="AF28" s="44" t="str">
        <f t="shared" si="94"/>
        <v/>
      </c>
      <c r="AI28" s="294" t="str">
        <f t="shared" ref="AI28:AL28" si="95">IF($P30="Necesitati biserica",Q30,"")</f>
        <v/>
      </c>
      <c r="AJ28" s="294" t="str">
        <f t="shared" si="95"/>
        <v/>
      </c>
      <c r="AK28" s="292" t="str">
        <f t="shared" si="95"/>
        <v/>
      </c>
      <c r="AL28" s="44" t="str">
        <f t="shared" si="95"/>
        <v/>
      </c>
      <c r="AO28" s="294" t="str">
        <f t="shared" ref="AO28:AR28" si="96">IF($P30="Materiale de constructie",Q30,"")</f>
        <v/>
      </c>
      <c r="AP28" s="294" t="str">
        <f t="shared" si="96"/>
        <v/>
      </c>
      <c r="AQ28" s="292" t="str">
        <f t="shared" si="96"/>
        <v/>
      </c>
      <c r="AR28" s="44" t="str">
        <f t="shared" si="96"/>
        <v/>
      </c>
    </row>
    <row r="29" ht="15.75" customHeight="1">
      <c r="A29" s="44">
        <v>26.0</v>
      </c>
      <c r="B29" s="293" t="s">
        <v>133</v>
      </c>
      <c r="C29" s="155">
        <v>45544.0</v>
      </c>
      <c r="D29" s="294">
        <v>45544.0</v>
      </c>
      <c r="E29" s="295">
        <v>500.0</v>
      </c>
      <c r="F29" s="340" t="s">
        <v>332</v>
      </c>
      <c r="G29" s="296"/>
      <c r="H29" s="297"/>
      <c r="K29" s="44"/>
      <c r="L29" s="156"/>
      <c r="M29" s="292"/>
      <c r="N29" s="297"/>
      <c r="P29" s="303"/>
      <c r="Q29" s="352"/>
      <c r="R29" s="294"/>
      <c r="S29" s="292"/>
      <c r="T29" s="297"/>
      <c r="W29" s="294" t="str">
        <f t="shared" ref="W29:Z29" si="97">IF($P29="Uz casnic",Q29,"")</f>
        <v/>
      </c>
      <c r="X29" s="294" t="str">
        <f t="shared" si="97"/>
        <v/>
      </c>
      <c r="Y29" s="292" t="str">
        <f t="shared" si="97"/>
        <v/>
      </c>
      <c r="Z29" s="44" t="str">
        <f t="shared" si="97"/>
        <v/>
      </c>
      <c r="AC29" s="294" t="str">
        <f t="shared" ref="AC29:AF29" si="98">IF($P31="Transport",Q31,"")</f>
        <v/>
      </c>
      <c r="AD29" s="294" t="str">
        <f t="shared" si="98"/>
        <v/>
      </c>
      <c r="AE29" s="292" t="str">
        <f t="shared" si="98"/>
        <v/>
      </c>
      <c r="AF29" s="44" t="str">
        <f t="shared" si="98"/>
        <v/>
      </c>
      <c r="AI29" s="294" t="str">
        <f t="shared" ref="AI29:AL29" si="99">IF($P31="Necesitati biserica",Q31,"")</f>
        <v/>
      </c>
      <c r="AJ29" s="294" t="str">
        <f t="shared" si="99"/>
        <v/>
      </c>
      <c r="AK29" s="292" t="str">
        <f t="shared" si="99"/>
        <v/>
      </c>
      <c r="AL29" s="44" t="str">
        <f t="shared" si="99"/>
        <v/>
      </c>
      <c r="AO29" s="294" t="str">
        <f t="shared" ref="AO29:AR29" si="100">IF($P31="Materiale de constructie",Q31,"")</f>
        <v/>
      </c>
      <c r="AP29" s="294" t="str">
        <f t="shared" si="100"/>
        <v/>
      </c>
      <c r="AQ29" s="292" t="str">
        <f t="shared" si="100"/>
        <v/>
      </c>
      <c r="AR29" s="44" t="str">
        <f t="shared" si="100"/>
        <v/>
      </c>
    </row>
    <row r="30" ht="15.75" customHeight="1">
      <c r="A30" s="44">
        <v>27.0</v>
      </c>
      <c r="B30" s="293" t="s">
        <v>365</v>
      </c>
      <c r="C30" s="155">
        <v>45544.0</v>
      </c>
      <c r="D30" s="294">
        <v>45544.0</v>
      </c>
      <c r="E30" s="295">
        <v>375.0</v>
      </c>
      <c r="F30" s="340" t="s">
        <v>332</v>
      </c>
      <c r="G30" s="296"/>
      <c r="H30" s="297" t="s">
        <v>366</v>
      </c>
      <c r="K30" s="44"/>
      <c r="L30" s="156"/>
      <c r="M30" s="292"/>
      <c r="N30" s="297"/>
      <c r="P30" s="303"/>
      <c r="Q30" s="352"/>
      <c r="R30" s="294"/>
      <c r="S30" s="292"/>
      <c r="T30" s="297"/>
      <c r="W30" s="294" t="str">
        <f t="shared" ref="W30:Z30" si="101">IF($P30="Uz casnic",Q30,"")</f>
        <v/>
      </c>
      <c r="X30" s="294" t="str">
        <f t="shared" si="101"/>
        <v/>
      </c>
      <c r="Y30" s="292" t="str">
        <f t="shared" si="101"/>
        <v/>
      </c>
      <c r="Z30" s="44" t="str">
        <f t="shared" si="101"/>
        <v/>
      </c>
      <c r="AC30" s="294" t="str">
        <f t="shared" ref="AC30:AF30" si="102">IF($P32="Transport",Q32,"")</f>
        <v/>
      </c>
      <c r="AD30" s="294" t="str">
        <f t="shared" si="102"/>
        <v/>
      </c>
      <c r="AE30" s="292" t="str">
        <f t="shared" si="102"/>
        <v/>
      </c>
      <c r="AF30" s="44" t="str">
        <f t="shared" si="102"/>
        <v/>
      </c>
      <c r="AI30" s="294" t="str">
        <f t="shared" ref="AI30:AL30" si="103">IF($P32="Necesitati biserica",Q32,"")</f>
        <v/>
      </c>
      <c r="AJ30" s="294" t="str">
        <f t="shared" si="103"/>
        <v/>
      </c>
      <c r="AK30" s="292" t="str">
        <f t="shared" si="103"/>
        <v/>
      </c>
      <c r="AL30" s="44" t="str">
        <f t="shared" si="103"/>
        <v/>
      </c>
      <c r="AO30" s="294" t="str">
        <f t="shared" ref="AO30:AR30" si="104">IF($P32="Materiale de constructie",Q32,"")</f>
        <v/>
      </c>
      <c r="AP30" s="294" t="str">
        <f t="shared" si="104"/>
        <v/>
      </c>
      <c r="AQ30" s="292" t="str">
        <f t="shared" si="104"/>
        <v/>
      </c>
      <c r="AR30" s="44" t="str">
        <f t="shared" si="104"/>
        <v/>
      </c>
    </row>
    <row r="31" ht="15.75" customHeight="1">
      <c r="A31" s="44">
        <v>28.0</v>
      </c>
      <c r="B31" s="293" t="s">
        <v>300</v>
      </c>
      <c r="C31" s="155">
        <v>45545.0</v>
      </c>
      <c r="D31" s="294">
        <v>45545.0</v>
      </c>
      <c r="E31" s="295">
        <v>500.0</v>
      </c>
      <c r="F31" s="340" t="s">
        <v>332</v>
      </c>
      <c r="G31" s="296"/>
      <c r="H31" s="297"/>
      <c r="K31" s="44"/>
      <c r="L31" s="156"/>
      <c r="M31" s="292"/>
      <c r="N31" s="297"/>
      <c r="P31" s="303"/>
      <c r="Q31" s="352"/>
      <c r="R31" s="294"/>
      <c r="S31" s="292"/>
      <c r="T31" s="297"/>
      <c r="W31" s="294" t="str">
        <f t="shared" ref="W31:Z31" si="105">IF($P31="Uz casnic",Q31,"")</f>
        <v/>
      </c>
      <c r="X31" s="294" t="str">
        <f t="shared" si="105"/>
        <v/>
      </c>
      <c r="Y31" s="292" t="str">
        <f t="shared" si="105"/>
        <v/>
      </c>
      <c r="Z31" s="44" t="str">
        <f t="shared" si="105"/>
        <v/>
      </c>
      <c r="AC31" s="294" t="str">
        <f t="shared" ref="AC31:AF31" si="106">IF($P33="Transport",Q33,"")</f>
        <v/>
      </c>
      <c r="AD31" s="294" t="str">
        <f t="shared" si="106"/>
        <v/>
      </c>
      <c r="AE31" s="292" t="str">
        <f t="shared" si="106"/>
        <v/>
      </c>
      <c r="AF31" s="44" t="str">
        <f t="shared" si="106"/>
        <v/>
      </c>
      <c r="AI31" s="294" t="str">
        <f t="shared" ref="AI31:AL31" si="107">IF($P33="Necesitati biserica",Q33,"")</f>
        <v/>
      </c>
      <c r="AJ31" s="294" t="str">
        <f t="shared" si="107"/>
        <v/>
      </c>
      <c r="AK31" s="292" t="str">
        <f t="shared" si="107"/>
        <v/>
      </c>
      <c r="AL31" s="44" t="str">
        <f t="shared" si="107"/>
        <v/>
      </c>
      <c r="AO31" s="294" t="str">
        <f t="shared" ref="AO31:AR31" si="108">IF($P33="Materiale de constructie",Q33,"")</f>
        <v/>
      </c>
      <c r="AP31" s="294" t="str">
        <f t="shared" si="108"/>
        <v/>
      </c>
      <c r="AQ31" s="292" t="str">
        <f t="shared" si="108"/>
        <v/>
      </c>
      <c r="AR31" s="44" t="str">
        <f t="shared" si="108"/>
        <v/>
      </c>
    </row>
    <row r="32" ht="15.75" customHeight="1">
      <c r="A32" s="44">
        <v>29.0</v>
      </c>
      <c r="B32" s="293" t="s">
        <v>331</v>
      </c>
      <c r="C32" s="155">
        <v>45546.0</v>
      </c>
      <c r="D32" s="294">
        <v>45546.0</v>
      </c>
      <c r="E32" s="295">
        <v>100.0</v>
      </c>
      <c r="F32" s="340" t="s">
        <v>332</v>
      </c>
      <c r="G32" s="296"/>
      <c r="H32" s="297"/>
      <c r="K32" s="44"/>
      <c r="L32" s="156"/>
      <c r="M32" s="292"/>
      <c r="N32" s="297"/>
      <c r="P32" s="303"/>
      <c r="Q32" s="352"/>
      <c r="R32" s="294"/>
      <c r="S32" s="292"/>
      <c r="T32" s="297"/>
      <c r="W32" s="294" t="str">
        <f t="shared" ref="W32:Z32" si="109">IF($P32="Uz casnic",Q32,"")</f>
        <v/>
      </c>
      <c r="X32" s="294" t="str">
        <f t="shared" si="109"/>
        <v/>
      </c>
      <c r="Y32" s="292" t="str">
        <f t="shared" si="109"/>
        <v/>
      </c>
      <c r="Z32" s="44" t="str">
        <f t="shared" si="109"/>
        <v/>
      </c>
      <c r="AC32" s="294" t="str">
        <f t="shared" ref="AC32:AF32" si="110">IF($P34="Transport",Q34,"")</f>
        <v/>
      </c>
      <c r="AD32" s="294" t="str">
        <f t="shared" si="110"/>
        <v/>
      </c>
      <c r="AE32" s="292" t="str">
        <f t="shared" si="110"/>
        <v/>
      </c>
      <c r="AF32" s="44" t="str">
        <f t="shared" si="110"/>
        <v/>
      </c>
      <c r="AI32" s="294" t="str">
        <f t="shared" ref="AI32:AL32" si="111">IF($P34="Necesitati biserica",Q34,"")</f>
        <v/>
      </c>
      <c r="AJ32" s="294" t="str">
        <f t="shared" si="111"/>
        <v/>
      </c>
      <c r="AK32" s="292" t="str">
        <f t="shared" si="111"/>
        <v/>
      </c>
      <c r="AL32" s="44" t="str">
        <f t="shared" si="111"/>
        <v/>
      </c>
      <c r="AO32" s="294" t="str">
        <f t="shared" ref="AO32:AR32" si="112">IF($P34="Materiale de constructie",Q34,"")</f>
        <v/>
      </c>
      <c r="AP32" s="294" t="str">
        <f t="shared" si="112"/>
        <v/>
      </c>
      <c r="AQ32" s="292" t="str">
        <f t="shared" si="112"/>
        <v/>
      </c>
      <c r="AR32" s="44" t="str">
        <f t="shared" si="112"/>
        <v/>
      </c>
    </row>
    <row r="33" ht="15.75" customHeight="1">
      <c r="A33" s="44">
        <v>30.0</v>
      </c>
      <c r="B33" s="293" t="s">
        <v>26</v>
      </c>
      <c r="C33" s="155">
        <v>45546.0</v>
      </c>
      <c r="D33" s="294">
        <v>45546.0</v>
      </c>
      <c r="E33" s="295">
        <v>500.0</v>
      </c>
      <c r="F33" s="340" t="s">
        <v>332</v>
      </c>
      <c r="G33" s="296"/>
      <c r="H33" s="297"/>
      <c r="K33" s="44"/>
      <c r="L33" s="156"/>
      <c r="M33" s="292"/>
      <c r="N33" s="297"/>
      <c r="P33" s="303"/>
      <c r="Q33" s="352"/>
      <c r="R33" s="294"/>
      <c r="S33" s="292"/>
      <c r="T33" s="297"/>
      <c r="W33" s="294" t="str">
        <f t="shared" ref="W33:Z33" si="113">IF($P33="Uz casnic",Q33,"")</f>
        <v/>
      </c>
      <c r="X33" s="294" t="str">
        <f t="shared" si="113"/>
        <v/>
      </c>
      <c r="Y33" s="292" t="str">
        <f t="shared" si="113"/>
        <v/>
      </c>
      <c r="Z33" s="44" t="str">
        <f t="shared" si="113"/>
        <v/>
      </c>
      <c r="AC33" s="294" t="str">
        <f t="shared" ref="AC33:AF33" si="114">IF($P35="Transport",Q35,"")</f>
        <v/>
      </c>
      <c r="AD33" s="294" t="str">
        <f t="shared" si="114"/>
        <v/>
      </c>
      <c r="AE33" s="292" t="str">
        <f t="shared" si="114"/>
        <v/>
      </c>
      <c r="AF33" s="44" t="str">
        <f t="shared" si="114"/>
        <v/>
      </c>
      <c r="AI33" s="294" t="str">
        <f t="shared" ref="AI33:AL33" si="115">IF($P35="Necesitati biserica",Q35,"")</f>
        <v/>
      </c>
      <c r="AJ33" s="294" t="str">
        <f t="shared" si="115"/>
        <v/>
      </c>
      <c r="AK33" s="292" t="str">
        <f t="shared" si="115"/>
        <v/>
      </c>
      <c r="AL33" s="44" t="str">
        <f t="shared" si="115"/>
        <v/>
      </c>
      <c r="AO33" s="294" t="str">
        <f t="shared" ref="AO33:AR33" si="116">IF($P35="Materiale de constructie",Q35,"")</f>
        <v/>
      </c>
      <c r="AP33" s="294" t="str">
        <f t="shared" si="116"/>
        <v/>
      </c>
      <c r="AQ33" s="292" t="str">
        <f t="shared" si="116"/>
        <v/>
      </c>
      <c r="AR33" s="44" t="str">
        <f t="shared" si="116"/>
        <v/>
      </c>
    </row>
    <row r="34" ht="15.75" customHeight="1">
      <c r="A34" s="44">
        <v>31.0</v>
      </c>
      <c r="B34" s="293" t="s">
        <v>367</v>
      </c>
      <c r="C34" s="155">
        <v>45547.0</v>
      </c>
      <c r="D34" s="294">
        <v>45547.0</v>
      </c>
      <c r="E34" s="295">
        <v>500.0</v>
      </c>
      <c r="F34" s="340" t="s">
        <v>332</v>
      </c>
      <c r="G34" s="296"/>
      <c r="H34" s="297"/>
      <c r="K34" s="44"/>
      <c r="L34" s="156"/>
      <c r="M34" s="292"/>
      <c r="N34" s="297"/>
      <c r="P34" s="303"/>
      <c r="Q34" s="352"/>
      <c r="R34" s="294"/>
      <c r="S34" s="292"/>
      <c r="T34" s="297"/>
      <c r="W34" s="294" t="str">
        <f t="shared" ref="W34:Z34" si="117">IF($P34="Uz casnic",Q34,"")</f>
        <v/>
      </c>
      <c r="X34" s="294" t="str">
        <f t="shared" si="117"/>
        <v/>
      </c>
      <c r="Y34" s="292" t="str">
        <f t="shared" si="117"/>
        <v/>
      </c>
      <c r="Z34" s="44" t="str">
        <f t="shared" si="117"/>
        <v/>
      </c>
      <c r="AC34" s="294" t="str">
        <f t="shared" ref="AC34:AF34" si="118">IF($P36="Transport",Q36,"")</f>
        <v/>
      </c>
      <c r="AD34" s="294" t="str">
        <f t="shared" si="118"/>
        <v/>
      </c>
      <c r="AE34" s="292" t="str">
        <f t="shared" si="118"/>
        <v/>
      </c>
      <c r="AF34" s="44" t="str">
        <f t="shared" si="118"/>
        <v/>
      </c>
      <c r="AI34" s="294" t="str">
        <f t="shared" ref="AI34:AL34" si="119">IF($P36="Necesitati biserica",Q36,"")</f>
        <v/>
      </c>
      <c r="AJ34" s="294" t="str">
        <f t="shared" si="119"/>
        <v/>
      </c>
      <c r="AK34" s="292" t="str">
        <f t="shared" si="119"/>
        <v/>
      </c>
      <c r="AL34" s="44" t="str">
        <f t="shared" si="119"/>
        <v/>
      </c>
      <c r="AO34" s="294" t="str">
        <f t="shared" ref="AO34:AR34" si="120">IF($P36="Materiale de constructie",Q36,"")</f>
        <v/>
      </c>
      <c r="AP34" s="294" t="str">
        <f t="shared" si="120"/>
        <v/>
      </c>
      <c r="AQ34" s="292" t="str">
        <f t="shared" si="120"/>
        <v/>
      </c>
      <c r="AR34" s="44" t="str">
        <f t="shared" si="120"/>
        <v/>
      </c>
    </row>
    <row r="35" ht="15.75" customHeight="1">
      <c r="A35" s="44">
        <v>32.0</v>
      </c>
      <c r="B35" s="293" t="s">
        <v>137</v>
      </c>
      <c r="C35" s="156">
        <v>45548.0</v>
      </c>
      <c r="D35" s="294">
        <v>45548.0</v>
      </c>
      <c r="E35" s="295">
        <v>500.0</v>
      </c>
      <c r="F35" s="340" t="s">
        <v>332</v>
      </c>
      <c r="G35" s="296"/>
      <c r="H35" s="297"/>
      <c r="K35" s="44"/>
      <c r="L35" s="156"/>
      <c r="M35" s="292"/>
      <c r="N35" s="297"/>
      <c r="P35" s="303"/>
      <c r="Q35" s="352"/>
      <c r="R35" s="294"/>
      <c r="S35" s="292"/>
      <c r="T35" s="297"/>
      <c r="W35" s="294" t="str">
        <f t="shared" ref="W35:Z35" si="121">IF($P35="Uz casnic",Q35,"")</f>
        <v/>
      </c>
      <c r="X35" s="294" t="str">
        <f t="shared" si="121"/>
        <v/>
      </c>
      <c r="Y35" s="292" t="str">
        <f t="shared" si="121"/>
        <v/>
      </c>
      <c r="Z35" s="44" t="str">
        <f t="shared" si="121"/>
        <v/>
      </c>
      <c r="AC35" s="294" t="str">
        <f t="shared" ref="AC35:AF35" si="122">IF($P37="Transport",Q37,"")</f>
        <v/>
      </c>
      <c r="AD35" s="294" t="str">
        <f t="shared" si="122"/>
        <v/>
      </c>
      <c r="AE35" s="292" t="str">
        <f t="shared" si="122"/>
        <v/>
      </c>
      <c r="AF35" s="44" t="str">
        <f t="shared" si="122"/>
        <v/>
      </c>
      <c r="AI35" s="294" t="str">
        <f t="shared" ref="AI35:AL35" si="123">IF($P37="Necesitati biserica",Q37,"")</f>
        <v/>
      </c>
      <c r="AJ35" s="294" t="str">
        <f t="shared" si="123"/>
        <v/>
      </c>
      <c r="AK35" s="292" t="str">
        <f t="shared" si="123"/>
        <v/>
      </c>
      <c r="AL35" s="44" t="str">
        <f t="shared" si="123"/>
        <v/>
      </c>
      <c r="AO35" s="294" t="str">
        <f t="shared" ref="AO35:AR35" si="124">IF($P37="Materiale de constructie",Q37,"")</f>
        <v/>
      </c>
      <c r="AP35" s="294" t="str">
        <f t="shared" si="124"/>
        <v/>
      </c>
      <c r="AQ35" s="292" t="str">
        <f t="shared" si="124"/>
        <v/>
      </c>
      <c r="AR35" s="44" t="str">
        <f t="shared" si="124"/>
        <v/>
      </c>
    </row>
    <row r="36" ht="15.75" customHeight="1">
      <c r="A36" s="44">
        <v>33.0</v>
      </c>
      <c r="B36" s="293" t="s">
        <v>271</v>
      </c>
      <c r="C36" s="156">
        <v>45548.0</v>
      </c>
      <c r="D36" s="294">
        <v>45548.0</v>
      </c>
      <c r="E36" s="295">
        <v>500.0</v>
      </c>
      <c r="F36" s="340" t="s">
        <v>332</v>
      </c>
      <c r="G36" s="296"/>
      <c r="H36" s="297"/>
      <c r="K36" s="44"/>
      <c r="L36" s="156"/>
      <c r="M36" s="292"/>
      <c r="N36" s="297"/>
      <c r="P36" s="303"/>
      <c r="Q36" s="352"/>
      <c r="R36" s="294"/>
      <c r="S36" s="292"/>
      <c r="T36" s="297"/>
      <c r="W36" s="294" t="str">
        <f t="shared" ref="W36:Z36" si="125">IF($P36="Uz casnic",Q36,"")</f>
        <v/>
      </c>
      <c r="X36" s="294" t="str">
        <f t="shared" si="125"/>
        <v/>
      </c>
      <c r="Y36" s="292" t="str">
        <f t="shared" si="125"/>
        <v/>
      </c>
      <c r="Z36" s="44" t="str">
        <f t="shared" si="125"/>
        <v/>
      </c>
      <c r="AC36" s="294" t="str">
        <f t="shared" ref="AC36:AF36" si="126">IF($P38="Transport",Q38,"")</f>
        <v/>
      </c>
      <c r="AD36" s="294" t="str">
        <f t="shared" si="126"/>
        <v/>
      </c>
      <c r="AE36" s="292" t="str">
        <f t="shared" si="126"/>
        <v/>
      </c>
      <c r="AF36" s="44" t="str">
        <f t="shared" si="126"/>
        <v/>
      </c>
      <c r="AI36" s="294" t="str">
        <f t="shared" ref="AI36:AL36" si="127">IF($P38="Necesitati biserica",Q38,"")</f>
        <v/>
      </c>
      <c r="AJ36" s="294" t="str">
        <f t="shared" si="127"/>
        <v/>
      </c>
      <c r="AK36" s="292" t="str">
        <f t="shared" si="127"/>
        <v/>
      </c>
      <c r="AL36" s="44" t="str">
        <f t="shared" si="127"/>
        <v/>
      </c>
      <c r="AO36" s="294" t="str">
        <f t="shared" ref="AO36:AR36" si="128">IF($P38="Materiale de constructie",Q38,"")</f>
        <v/>
      </c>
      <c r="AP36" s="294" t="str">
        <f t="shared" si="128"/>
        <v/>
      </c>
      <c r="AQ36" s="292" t="str">
        <f t="shared" si="128"/>
        <v/>
      </c>
      <c r="AR36" s="44" t="str">
        <f t="shared" si="128"/>
        <v/>
      </c>
    </row>
    <row r="37" ht="15.75" customHeight="1">
      <c r="A37" s="44">
        <v>34.0</v>
      </c>
      <c r="B37" s="293" t="s">
        <v>133</v>
      </c>
      <c r="C37" s="156">
        <v>45551.0</v>
      </c>
      <c r="D37" s="294">
        <v>45551.0</v>
      </c>
      <c r="E37" s="295">
        <v>550.0</v>
      </c>
      <c r="F37" s="340" t="s">
        <v>332</v>
      </c>
      <c r="G37" s="296">
        <v>50.0</v>
      </c>
      <c r="H37" s="297"/>
      <c r="K37" s="44"/>
      <c r="L37" s="156"/>
      <c r="M37" s="292"/>
      <c r="N37" s="297"/>
      <c r="P37" s="303"/>
      <c r="Q37" s="352"/>
      <c r="R37" s="294"/>
      <c r="S37" s="292"/>
      <c r="T37" s="297"/>
      <c r="W37" s="294" t="str">
        <f t="shared" ref="W37:Z37" si="129">IF($P37="Uz casnic",Q37,"")</f>
        <v/>
      </c>
      <c r="X37" s="294" t="str">
        <f t="shared" si="129"/>
        <v/>
      </c>
      <c r="Y37" s="292" t="str">
        <f t="shared" si="129"/>
        <v/>
      </c>
      <c r="Z37" s="44" t="str">
        <f t="shared" si="129"/>
        <v/>
      </c>
      <c r="AC37" s="294" t="str">
        <f t="shared" ref="AC37:AF37" si="130">IF($P39="Transport",Q39,"")</f>
        <v/>
      </c>
      <c r="AD37" s="294" t="str">
        <f t="shared" si="130"/>
        <v/>
      </c>
      <c r="AE37" s="292" t="str">
        <f t="shared" si="130"/>
        <v/>
      </c>
      <c r="AF37" s="44" t="str">
        <f t="shared" si="130"/>
        <v/>
      </c>
      <c r="AI37" s="294" t="str">
        <f t="shared" ref="AI37:AL37" si="131">IF($P39="Necesitati biserica",Q39,"")</f>
        <v/>
      </c>
      <c r="AJ37" s="294" t="str">
        <f t="shared" si="131"/>
        <v/>
      </c>
      <c r="AK37" s="292" t="str">
        <f t="shared" si="131"/>
        <v/>
      </c>
      <c r="AL37" s="44" t="str">
        <f t="shared" si="131"/>
        <v/>
      </c>
      <c r="AO37" s="294" t="str">
        <f t="shared" ref="AO37:AR37" si="132">IF($P39="Materiale de constructie",Q39,"")</f>
        <v/>
      </c>
      <c r="AP37" s="294" t="str">
        <f t="shared" si="132"/>
        <v/>
      </c>
      <c r="AQ37" s="292" t="str">
        <f t="shared" si="132"/>
        <v/>
      </c>
      <c r="AR37" s="44" t="str">
        <f t="shared" si="132"/>
        <v/>
      </c>
    </row>
    <row r="38" ht="15.75" customHeight="1">
      <c r="A38" s="44">
        <v>35.0</v>
      </c>
      <c r="B38" s="293" t="s">
        <v>300</v>
      </c>
      <c r="C38" s="156">
        <v>45552.0</v>
      </c>
      <c r="D38" s="294">
        <v>45552.0</v>
      </c>
      <c r="E38" s="295">
        <v>500.0</v>
      </c>
      <c r="F38" s="340" t="s">
        <v>332</v>
      </c>
      <c r="G38" s="296"/>
      <c r="H38" s="297"/>
      <c r="K38" s="44"/>
      <c r="L38" s="156"/>
      <c r="M38" s="292"/>
      <c r="N38" s="297"/>
      <c r="P38" s="303"/>
      <c r="Q38" s="352"/>
      <c r="R38" s="294"/>
      <c r="S38" s="292"/>
      <c r="T38" s="297"/>
      <c r="W38" s="294" t="str">
        <f t="shared" ref="W38:Z38" si="133">IF($P38="Uz casnic",Q38,"")</f>
        <v/>
      </c>
      <c r="X38" s="294" t="str">
        <f t="shared" si="133"/>
        <v/>
      </c>
      <c r="Y38" s="292" t="str">
        <f t="shared" si="133"/>
        <v/>
      </c>
      <c r="Z38" s="44" t="str">
        <f t="shared" si="133"/>
        <v/>
      </c>
      <c r="AC38" s="294" t="str">
        <f t="shared" ref="AC38:AF38" si="134">IF($P40="Transport",Q40,"")</f>
        <v/>
      </c>
      <c r="AD38" s="294" t="str">
        <f t="shared" si="134"/>
        <v/>
      </c>
      <c r="AE38" s="292" t="str">
        <f t="shared" si="134"/>
        <v/>
      </c>
      <c r="AF38" s="44" t="str">
        <f t="shared" si="134"/>
        <v/>
      </c>
      <c r="AI38" s="294" t="str">
        <f t="shared" ref="AI38:AL38" si="135">IF($P40="Necesitati biserica",Q40,"")</f>
        <v/>
      </c>
      <c r="AJ38" s="294" t="str">
        <f t="shared" si="135"/>
        <v/>
      </c>
      <c r="AK38" s="292" t="str">
        <f t="shared" si="135"/>
        <v/>
      </c>
      <c r="AL38" s="44" t="str">
        <f t="shared" si="135"/>
        <v/>
      </c>
      <c r="AO38" s="294" t="str">
        <f t="shared" ref="AO38:AR38" si="136">IF($P40="Materiale de constructie",Q40,"")</f>
        <v/>
      </c>
      <c r="AP38" s="294" t="str">
        <f t="shared" si="136"/>
        <v/>
      </c>
      <c r="AQ38" s="292" t="str">
        <f t="shared" si="136"/>
        <v/>
      </c>
      <c r="AR38" s="44" t="str">
        <f t="shared" si="136"/>
        <v/>
      </c>
    </row>
    <row r="39" ht="15.75" customHeight="1">
      <c r="A39" s="44">
        <v>36.0</v>
      </c>
      <c r="B39" s="293"/>
      <c r="C39" s="156"/>
      <c r="D39" s="294"/>
      <c r="E39" s="295"/>
      <c r="F39" s="340" t="s">
        <v>332</v>
      </c>
      <c r="G39" s="296"/>
      <c r="H39" s="297"/>
      <c r="K39" s="44"/>
      <c r="L39" s="156"/>
      <c r="M39" s="292"/>
      <c r="N39" s="297"/>
      <c r="P39" s="303"/>
      <c r="Q39" s="352"/>
      <c r="R39" s="294"/>
      <c r="S39" s="292"/>
      <c r="T39" s="297"/>
      <c r="W39" s="294" t="str">
        <f t="shared" ref="W39:Z39" si="137">IF($P39="Uz casnic",Q39,"")</f>
        <v/>
      </c>
      <c r="X39" s="294" t="str">
        <f t="shared" si="137"/>
        <v/>
      </c>
      <c r="Y39" s="292" t="str">
        <f t="shared" si="137"/>
        <v/>
      </c>
      <c r="Z39" s="44" t="str">
        <f t="shared" si="137"/>
        <v/>
      </c>
      <c r="AC39" s="294" t="str">
        <f t="shared" ref="AC39:AF39" si="138">IF($P41="Transport",Q41,"")</f>
        <v/>
      </c>
      <c r="AD39" s="294" t="str">
        <f t="shared" si="138"/>
        <v/>
      </c>
      <c r="AE39" s="292" t="str">
        <f t="shared" si="138"/>
        <v/>
      </c>
      <c r="AF39" s="44" t="str">
        <f t="shared" si="138"/>
        <v/>
      </c>
      <c r="AI39" s="294" t="str">
        <f t="shared" ref="AI39:AL39" si="139">IF($P41="Necesitati biserica",Q41,"")</f>
        <v/>
      </c>
      <c r="AJ39" s="294" t="str">
        <f t="shared" si="139"/>
        <v/>
      </c>
      <c r="AK39" s="292" t="str">
        <f t="shared" si="139"/>
        <v/>
      </c>
      <c r="AL39" s="44" t="str">
        <f t="shared" si="139"/>
        <v/>
      </c>
      <c r="AO39" s="294" t="str">
        <f t="shared" ref="AO39:AR39" si="140">IF($P41="Materiale de constructie",Q41,"")</f>
        <v/>
      </c>
      <c r="AP39" s="294" t="str">
        <f t="shared" si="140"/>
        <v/>
      </c>
      <c r="AQ39" s="292" t="str">
        <f t="shared" si="140"/>
        <v/>
      </c>
      <c r="AR39" s="44" t="str">
        <f t="shared" si="140"/>
        <v/>
      </c>
    </row>
    <row r="40" ht="15.75" customHeight="1">
      <c r="A40" s="44">
        <v>37.0</v>
      </c>
      <c r="B40" s="293"/>
      <c r="C40" s="156"/>
      <c r="D40" s="294"/>
      <c r="E40" s="295"/>
      <c r="F40" s="340" t="s">
        <v>332</v>
      </c>
      <c r="G40" s="296"/>
      <c r="H40" s="297"/>
      <c r="K40" s="44"/>
      <c r="L40" s="156"/>
      <c r="M40" s="292"/>
      <c r="N40" s="297"/>
      <c r="P40" s="303"/>
      <c r="Q40" s="352"/>
      <c r="R40" s="294"/>
      <c r="S40" s="292"/>
      <c r="T40" s="297"/>
      <c r="W40" s="294" t="str">
        <f t="shared" ref="W40:Z40" si="141">IF($P40="Uz casnic",Q40,"")</f>
        <v/>
      </c>
      <c r="X40" s="294" t="str">
        <f t="shared" si="141"/>
        <v/>
      </c>
      <c r="Y40" s="292" t="str">
        <f t="shared" si="141"/>
        <v/>
      </c>
      <c r="Z40" s="44" t="str">
        <f t="shared" si="141"/>
        <v/>
      </c>
      <c r="AC40" s="294" t="str">
        <f t="shared" ref="AC40:AF40" si="142">IF($P42="Transport",Q42,"")</f>
        <v/>
      </c>
      <c r="AD40" s="294" t="str">
        <f t="shared" si="142"/>
        <v/>
      </c>
      <c r="AE40" s="292" t="str">
        <f t="shared" si="142"/>
        <v/>
      </c>
      <c r="AF40" s="44" t="str">
        <f t="shared" si="142"/>
        <v/>
      </c>
      <c r="AI40" s="294" t="str">
        <f t="shared" ref="AI40:AL40" si="143">IF($P42="Necesitati biserica",Q42,"")</f>
        <v/>
      </c>
      <c r="AJ40" s="294" t="str">
        <f t="shared" si="143"/>
        <v/>
      </c>
      <c r="AK40" s="292" t="str">
        <f t="shared" si="143"/>
        <v/>
      </c>
      <c r="AL40" s="44" t="str">
        <f t="shared" si="143"/>
        <v/>
      </c>
      <c r="AO40" s="294" t="str">
        <f t="shared" ref="AO40:AR40" si="144">IF($P42="Materiale de constructie",Q42,"")</f>
        <v/>
      </c>
      <c r="AP40" s="294" t="str">
        <f t="shared" si="144"/>
        <v/>
      </c>
      <c r="AQ40" s="292" t="str">
        <f t="shared" si="144"/>
        <v/>
      </c>
      <c r="AR40" s="44" t="str">
        <f t="shared" si="144"/>
        <v/>
      </c>
    </row>
    <row r="41" ht="15.75" customHeight="1">
      <c r="A41" s="44">
        <v>38.0</v>
      </c>
      <c r="B41" s="293"/>
      <c r="C41" s="156"/>
      <c r="D41" s="294"/>
      <c r="E41" s="295"/>
      <c r="F41" s="340" t="s">
        <v>332</v>
      </c>
      <c r="G41" s="296"/>
      <c r="H41" s="297"/>
      <c r="K41" s="44"/>
      <c r="L41" s="156"/>
      <c r="M41" s="292"/>
      <c r="N41" s="297"/>
      <c r="P41" s="303"/>
      <c r="Q41" s="352"/>
      <c r="R41" s="294"/>
      <c r="S41" s="292"/>
      <c r="T41" s="297"/>
      <c r="W41" s="294" t="str">
        <f t="shared" ref="W41:Z41" si="145">IF($P41="Uz casnic",Q41,"")</f>
        <v/>
      </c>
      <c r="X41" s="294" t="str">
        <f t="shared" si="145"/>
        <v/>
      </c>
      <c r="Y41" s="292" t="str">
        <f t="shared" si="145"/>
        <v/>
      </c>
      <c r="Z41" s="44" t="str">
        <f t="shared" si="145"/>
        <v/>
      </c>
      <c r="AC41" s="294" t="str">
        <f t="shared" ref="AC41:AF41" si="146">IF($P43="Transport",Q43,"")</f>
        <v/>
      </c>
      <c r="AD41" s="294" t="str">
        <f t="shared" si="146"/>
        <v/>
      </c>
      <c r="AE41" s="292" t="str">
        <f t="shared" si="146"/>
        <v/>
      </c>
      <c r="AF41" s="44" t="str">
        <f t="shared" si="146"/>
        <v/>
      </c>
      <c r="AI41" s="294" t="str">
        <f t="shared" ref="AI41:AL41" si="147">IF($P43="Necesitati biserica",Q43,"")</f>
        <v/>
      </c>
      <c r="AJ41" s="294" t="str">
        <f t="shared" si="147"/>
        <v/>
      </c>
      <c r="AK41" s="292" t="str">
        <f t="shared" si="147"/>
        <v/>
      </c>
      <c r="AL41" s="44" t="str">
        <f t="shared" si="147"/>
        <v/>
      </c>
      <c r="AO41" s="294" t="str">
        <f t="shared" ref="AO41:AR41" si="148">IF($P43="Materiale de constructie",Q43,"")</f>
        <v/>
      </c>
      <c r="AP41" s="294" t="str">
        <f t="shared" si="148"/>
        <v/>
      </c>
      <c r="AQ41" s="292" t="str">
        <f t="shared" si="148"/>
        <v/>
      </c>
      <c r="AR41" s="44" t="str">
        <f t="shared" si="148"/>
        <v/>
      </c>
    </row>
    <row r="42" ht="15.75" customHeight="1">
      <c r="A42" s="44">
        <v>39.0</v>
      </c>
      <c r="B42" s="317"/>
      <c r="C42" s="318"/>
      <c r="D42" s="319"/>
      <c r="E42" s="320"/>
      <c r="F42" s="340" t="s">
        <v>332</v>
      </c>
      <c r="G42" s="322"/>
      <c r="H42" s="323"/>
      <c r="K42" s="324"/>
      <c r="L42" s="318"/>
      <c r="M42" s="325"/>
      <c r="N42" s="323"/>
      <c r="P42" s="353"/>
      <c r="Q42" s="354"/>
      <c r="R42" s="319"/>
      <c r="S42" s="325"/>
      <c r="T42" s="323"/>
      <c r="W42" s="294" t="str">
        <f t="shared" ref="W42:Z42" si="149">IF($P42="Uz casnic",Q42,"")</f>
        <v/>
      </c>
      <c r="X42" s="294" t="str">
        <f t="shared" si="149"/>
        <v/>
      </c>
      <c r="Y42" s="292" t="str">
        <f t="shared" si="149"/>
        <v/>
      </c>
      <c r="Z42" s="44" t="str">
        <f t="shared" si="149"/>
        <v/>
      </c>
      <c r="AC42" s="294" t="str">
        <f t="shared" ref="AC42:AF42" si="150">IF($P44="Transport",Q44,"")</f>
        <v/>
      </c>
      <c r="AD42" s="294" t="str">
        <f t="shared" si="150"/>
        <v/>
      </c>
      <c r="AE42" s="292" t="str">
        <f t="shared" si="150"/>
        <v/>
      </c>
      <c r="AF42" s="44" t="str">
        <f t="shared" si="150"/>
        <v/>
      </c>
      <c r="AI42" s="294" t="str">
        <f t="shared" ref="AI42:AL42" si="151">IF($P44="Necesitati biserica",Q44,"")</f>
        <v/>
      </c>
      <c r="AJ42" s="294" t="str">
        <f t="shared" si="151"/>
        <v/>
      </c>
      <c r="AK42" s="292" t="str">
        <f t="shared" si="151"/>
        <v/>
      </c>
      <c r="AL42" s="44" t="str">
        <f t="shared" si="151"/>
        <v/>
      </c>
      <c r="AO42" s="294" t="str">
        <f t="shared" ref="AO42:AR42" si="152">IF($P44="Materiale de constructie",Q44,"")</f>
        <v/>
      </c>
      <c r="AP42" s="294" t="str">
        <f t="shared" si="152"/>
        <v/>
      </c>
      <c r="AQ42" s="292" t="str">
        <f t="shared" si="152"/>
        <v/>
      </c>
      <c r="AR42" s="44" t="str">
        <f t="shared" si="152"/>
        <v/>
      </c>
    </row>
    <row r="43" ht="24.0" customHeight="1">
      <c r="A43" s="355"/>
      <c r="B43" s="253" t="s">
        <v>46</v>
      </c>
      <c r="C43" s="117"/>
      <c r="D43" s="118"/>
      <c r="E43" s="263">
        <f>SUM(E4:E42)</f>
        <v>15780</v>
      </c>
      <c r="F43" s="263"/>
      <c r="G43" s="263"/>
      <c r="H43" s="264"/>
      <c r="K43" s="326" t="s">
        <v>46</v>
      </c>
      <c r="L43" s="251"/>
      <c r="M43" s="327">
        <f>SUM(M5:M42)</f>
        <v>3970</v>
      </c>
      <c r="N43" s="264"/>
      <c r="P43" s="356" t="s">
        <v>46</v>
      </c>
      <c r="Q43" s="357"/>
      <c r="R43" s="251"/>
      <c r="S43" s="358">
        <f>SUM(Y43,AE43,AK43,AQ43)-Y45-AE45-AK45-AQ45</f>
        <v>0</v>
      </c>
      <c r="T43" s="264"/>
      <c r="W43" s="356" t="s">
        <v>46</v>
      </c>
      <c r="X43" s="359"/>
      <c r="Y43" s="360">
        <f>SUM(Y5:Y42)</f>
        <v>2285.06</v>
      </c>
      <c r="AC43" s="356" t="s">
        <v>46</v>
      </c>
      <c r="AD43" s="359"/>
      <c r="AE43" s="360">
        <f>SUM(AE5:AE42)</f>
        <v>470</v>
      </c>
      <c r="AI43" s="356" t="s">
        <v>46</v>
      </c>
      <c r="AJ43" s="359"/>
      <c r="AK43" s="360">
        <f>SUM(AK5:AK42)</f>
        <v>3947.93</v>
      </c>
      <c r="AO43" s="356" t="s">
        <v>46</v>
      </c>
      <c r="AP43" s="359"/>
      <c r="AQ43" s="360">
        <f>SUM(AQ5:AQ42)</f>
        <v>1131.75</v>
      </c>
    </row>
    <row r="44" ht="24.0" customHeight="1">
      <c r="A44" s="355"/>
      <c r="B44" s="253" t="s">
        <v>140</v>
      </c>
      <c r="C44" s="117"/>
      <c r="D44" s="118"/>
      <c r="E44" s="263"/>
      <c r="F44" s="263"/>
      <c r="G44" s="263"/>
      <c r="H44" s="264"/>
      <c r="K44" s="255"/>
      <c r="L44" s="256"/>
      <c r="M44" s="257"/>
      <c r="N44" s="264"/>
      <c r="P44" s="255"/>
      <c r="Q44" s="361"/>
      <c r="R44" s="256"/>
      <c r="S44" s="362"/>
      <c r="T44" s="264"/>
      <c r="W44" s="255"/>
      <c r="X44" s="363"/>
      <c r="Y44" s="364"/>
      <c r="AC44" s="255"/>
      <c r="AD44" s="363"/>
      <c r="AE44" s="364"/>
      <c r="AI44" s="255"/>
      <c r="AJ44" s="363"/>
      <c r="AK44" s="364"/>
      <c r="AO44" s="255"/>
      <c r="AP44" s="363"/>
      <c r="AQ44" s="364"/>
    </row>
    <row r="45" ht="22.5" customHeight="1">
      <c r="A45" s="355"/>
      <c r="B45" s="260" t="s">
        <v>142</v>
      </c>
      <c r="C45" s="117"/>
      <c r="D45" s="118"/>
      <c r="E45" s="261">
        <f>E44+S43</f>
        <v>0</v>
      </c>
      <c r="F45" s="262" t="s">
        <v>368</v>
      </c>
      <c r="G45" s="263">
        <f>E45-E44</f>
        <v>0</v>
      </c>
      <c r="H45" s="264"/>
      <c r="K45" s="365" t="s">
        <v>369</v>
      </c>
      <c r="L45" s="16"/>
      <c r="M45" s="366">
        <v>3970.0</v>
      </c>
      <c r="N45" s="112"/>
      <c r="R45" s="333"/>
      <c r="S45" s="5"/>
      <c r="T45" s="112"/>
      <c r="W45" s="367" t="s">
        <v>17</v>
      </c>
      <c r="X45" s="251"/>
      <c r="Y45" s="368">
        <v>2285.06</v>
      </c>
      <c r="AC45" s="367" t="s">
        <v>17</v>
      </c>
      <c r="AD45" s="251"/>
      <c r="AE45" s="368">
        <v>470.0</v>
      </c>
      <c r="AI45" s="367" t="s">
        <v>17</v>
      </c>
      <c r="AJ45" s="251"/>
      <c r="AK45" s="368">
        <v>3947.93</v>
      </c>
      <c r="AO45" s="367" t="s">
        <v>17</v>
      </c>
      <c r="AP45" s="251"/>
      <c r="AQ45" s="368">
        <v>1131.75</v>
      </c>
    </row>
    <row r="46" ht="15.75" customHeight="1">
      <c r="B46" s="260" t="s">
        <v>145</v>
      </c>
      <c r="C46" s="117"/>
      <c r="D46" s="118"/>
      <c r="E46" s="270">
        <v>11810.0</v>
      </c>
      <c r="F46" s="266">
        <v>45548.0</v>
      </c>
      <c r="G46" s="263"/>
      <c r="H46" s="264"/>
      <c r="K46" s="329" t="s">
        <v>141</v>
      </c>
      <c r="L46" s="16"/>
      <c r="M46" s="330"/>
      <c r="N46" s="112"/>
      <c r="R46" s="333"/>
      <c r="S46" s="5"/>
      <c r="T46" s="112"/>
      <c r="W46" s="255"/>
      <c r="X46" s="256"/>
      <c r="Y46" s="257"/>
      <c r="AC46" s="255"/>
      <c r="AD46" s="256"/>
      <c r="AE46" s="257"/>
      <c r="AI46" s="255"/>
      <c r="AJ46" s="256"/>
      <c r="AK46" s="257"/>
      <c r="AO46" s="255"/>
      <c r="AP46" s="256"/>
      <c r="AQ46" s="257"/>
    </row>
    <row r="47" ht="15.75" customHeight="1">
      <c r="B47" s="269" t="s">
        <v>146</v>
      </c>
      <c r="C47" s="117"/>
      <c r="D47" s="118"/>
      <c r="E47" s="270">
        <v>11810.0</v>
      </c>
      <c r="F47" s="263"/>
      <c r="G47" s="263"/>
      <c r="H47" s="264"/>
      <c r="L47" s="4"/>
      <c r="M47" s="5"/>
      <c r="N47" s="112"/>
      <c r="R47" s="333"/>
      <c r="S47" s="5"/>
      <c r="T47" s="112"/>
      <c r="X47" s="333"/>
      <c r="Y47" s="5"/>
      <c r="AD47" s="333"/>
      <c r="AE47" s="5"/>
      <c r="AJ47" s="333"/>
      <c r="AK47" s="5"/>
      <c r="AP47" s="333"/>
      <c r="AQ47" s="5"/>
    </row>
    <row r="48" ht="15.75" customHeight="1">
      <c r="C48" s="4"/>
      <c r="D48" s="333"/>
      <c r="E48" s="5"/>
      <c r="F48" s="5"/>
      <c r="G48" s="5"/>
      <c r="H48" s="112"/>
      <c r="K48" s="273" t="s">
        <v>3</v>
      </c>
      <c r="L48" s="117"/>
      <c r="M48" s="117"/>
      <c r="N48" s="118"/>
      <c r="R48" s="333"/>
      <c r="S48" s="5"/>
      <c r="T48" s="112"/>
      <c r="W48" s="335" t="s">
        <v>327</v>
      </c>
      <c r="X48" s="117"/>
      <c r="Y48" s="117"/>
      <c r="Z48" s="118"/>
      <c r="AC48" s="336" t="s">
        <v>328</v>
      </c>
      <c r="AD48" s="117"/>
      <c r="AE48" s="117"/>
      <c r="AF48" s="118"/>
      <c r="AI48" s="337" t="s">
        <v>329</v>
      </c>
      <c r="AJ48" s="117"/>
      <c r="AK48" s="117"/>
      <c r="AL48" s="118"/>
      <c r="AO48" s="338" t="s">
        <v>330</v>
      </c>
      <c r="AP48" s="117"/>
      <c r="AQ48" s="117"/>
      <c r="AR48" s="118"/>
    </row>
    <row r="49" ht="15.75" customHeight="1">
      <c r="C49" s="4"/>
      <c r="E49" s="5"/>
      <c r="H49" s="112"/>
      <c r="K49" s="281" t="s">
        <v>15</v>
      </c>
      <c r="L49" s="282" t="s">
        <v>9</v>
      </c>
      <c r="M49" s="283" t="s">
        <v>11</v>
      </c>
      <c r="N49" s="284" t="s">
        <v>16</v>
      </c>
      <c r="R49" s="333"/>
      <c r="S49" s="5"/>
      <c r="T49" s="112"/>
      <c r="W49" s="345" t="s">
        <v>334</v>
      </c>
      <c r="X49" s="345" t="s">
        <v>9</v>
      </c>
      <c r="Y49" s="283" t="s">
        <v>11</v>
      </c>
      <c r="Z49" s="284" t="s">
        <v>14</v>
      </c>
      <c r="AC49" s="345" t="s">
        <v>334</v>
      </c>
      <c r="AD49" s="345" t="s">
        <v>9</v>
      </c>
      <c r="AE49" s="283" t="s">
        <v>11</v>
      </c>
      <c r="AF49" s="284" t="s">
        <v>14</v>
      </c>
      <c r="AI49" s="345" t="s">
        <v>334</v>
      </c>
      <c r="AJ49" s="345" t="s">
        <v>9</v>
      </c>
      <c r="AK49" s="283" t="s">
        <v>11</v>
      </c>
      <c r="AL49" s="284" t="s">
        <v>14</v>
      </c>
      <c r="AO49" s="345" t="s">
        <v>334</v>
      </c>
      <c r="AP49" s="345" t="s">
        <v>9</v>
      </c>
      <c r="AQ49" s="283" t="s">
        <v>11</v>
      </c>
      <c r="AR49" s="284" t="s">
        <v>14</v>
      </c>
    </row>
    <row r="50" ht="15.75" customHeight="1">
      <c r="C50" s="4"/>
      <c r="E50" s="5"/>
      <c r="H50" s="112"/>
      <c r="K50" s="44" t="s">
        <v>335</v>
      </c>
      <c r="L50" s="156">
        <v>45527.0</v>
      </c>
      <c r="M50" s="292">
        <v>1143.0</v>
      </c>
      <c r="N50" s="297"/>
      <c r="R50" s="333"/>
      <c r="S50" s="5"/>
      <c r="T50" s="112"/>
      <c r="W50" s="44" t="s">
        <v>337</v>
      </c>
      <c r="X50" s="294">
        <v>45529.0</v>
      </c>
      <c r="Y50" s="292">
        <v>174.5</v>
      </c>
      <c r="Z50" s="44">
        <v>0.0</v>
      </c>
      <c r="AC50" s="44" t="s">
        <v>341</v>
      </c>
      <c r="AD50" s="294">
        <v>45530.0</v>
      </c>
      <c r="AE50" s="292">
        <v>100.0</v>
      </c>
      <c r="AF50" s="44" t="s">
        <v>342</v>
      </c>
      <c r="AI50" s="44" t="s">
        <v>350</v>
      </c>
      <c r="AJ50" s="294">
        <v>45533.0</v>
      </c>
      <c r="AK50" s="292">
        <v>100.0</v>
      </c>
      <c r="AL50" s="44" t="s">
        <v>342</v>
      </c>
      <c r="AO50" s="44" t="s">
        <v>344</v>
      </c>
      <c r="AP50" s="294">
        <v>45530.0</v>
      </c>
      <c r="AQ50" s="292">
        <v>770.75</v>
      </c>
      <c r="AR50" s="44">
        <v>0.0</v>
      </c>
    </row>
    <row r="51" ht="15.75" customHeight="1">
      <c r="C51" s="4"/>
      <c r="E51" s="5"/>
      <c r="H51" s="112"/>
      <c r="K51" s="44" t="s">
        <v>370</v>
      </c>
      <c r="L51" s="156">
        <v>45533.0</v>
      </c>
      <c r="M51" s="292">
        <v>399.0</v>
      </c>
      <c r="N51" s="297"/>
      <c r="R51" s="333"/>
      <c r="S51" s="5"/>
      <c r="T51" s="112"/>
      <c r="W51" s="44" t="s">
        <v>339</v>
      </c>
      <c r="X51" s="294">
        <v>45530.0</v>
      </c>
      <c r="Y51" s="292">
        <v>499.5</v>
      </c>
      <c r="Z51" s="44">
        <v>0.0</v>
      </c>
      <c r="AB51" s="5"/>
      <c r="AC51" s="44" t="s">
        <v>341</v>
      </c>
      <c r="AD51" s="294">
        <v>45537.0</v>
      </c>
      <c r="AE51" s="292">
        <v>100.0</v>
      </c>
      <c r="AF51" s="44">
        <v>0.0</v>
      </c>
      <c r="AI51" s="44" t="s">
        <v>371</v>
      </c>
      <c r="AJ51" s="294">
        <v>45539.0</v>
      </c>
      <c r="AK51" s="292">
        <v>750.0</v>
      </c>
      <c r="AL51" s="44">
        <v>0.0</v>
      </c>
      <c r="AO51" s="44" t="s">
        <v>351</v>
      </c>
      <c r="AP51" s="294">
        <v>45537.0</v>
      </c>
      <c r="AQ51" s="292">
        <v>224.0</v>
      </c>
      <c r="AR51" s="44">
        <v>0.0</v>
      </c>
    </row>
    <row r="52" ht="15.75" customHeight="1">
      <c r="C52" s="4"/>
      <c r="H52" s="112"/>
      <c r="K52" s="44" t="s">
        <v>340</v>
      </c>
      <c r="L52" s="156">
        <v>45534.0</v>
      </c>
      <c r="M52" s="292">
        <v>1428.0</v>
      </c>
      <c r="N52" s="297"/>
      <c r="R52" s="333"/>
      <c r="S52" s="5"/>
      <c r="T52" s="112"/>
      <c r="W52" s="44" t="s">
        <v>345</v>
      </c>
      <c r="X52" s="294">
        <v>45533.0</v>
      </c>
      <c r="Y52" s="292">
        <v>30.0</v>
      </c>
      <c r="Z52" s="44">
        <v>0.0</v>
      </c>
      <c r="AC52" s="44" t="s">
        <v>341</v>
      </c>
      <c r="AD52" s="294">
        <v>45538.0</v>
      </c>
      <c r="AE52" s="292">
        <v>100.0</v>
      </c>
      <c r="AF52" s="44">
        <v>0.0</v>
      </c>
      <c r="AI52" s="44" t="s">
        <v>357</v>
      </c>
      <c r="AJ52" s="294">
        <v>45541.0</v>
      </c>
      <c r="AK52" s="292">
        <v>1260.0</v>
      </c>
      <c r="AL52" s="44">
        <v>0.0</v>
      </c>
      <c r="AO52" s="44" t="s">
        <v>352</v>
      </c>
      <c r="AP52" s="294">
        <v>45539.0</v>
      </c>
      <c r="AQ52" s="292">
        <v>137.0</v>
      </c>
      <c r="AR52" s="44">
        <v>0.0</v>
      </c>
    </row>
    <row r="53" ht="15.75" customHeight="1">
      <c r="C53" s="4"/>
      <c r="H53" s="112"/>
      <c r="K53" s="44"/>
      <c r="L53" s="156"/>
      <c r="M53" s="292"/>
      <c r="N53" s="297"/>
      <c r="R53" s="333"/>
      <c r="S53" s="5"/>
      <c r="T53" s="112"/>
      <c r="W53" s="44" t="s">
        <v>347</v>
      </c>
      <c r="X53" s="294">
        <v>45533.0</v>
      </c>
      <c r="Y53" s="292">
        <v>387.25</v>
      </c>
      <c r="Z53" s="44">
        <v>0.0</v>
      </c>
      <c r="AC53" s="44" t="s">
        <v>341</v>
      </c>
      <c r="AD53" s="294">
        <v>45541.0</v>
      </c>
      <c r="AE53" s="292">
        <v>60.0</v>
      </c>
      <c r="AF53" s="44" t="s">
        <v>359</v>
      </c>
      <c r="AI53" s="44" t="s">
        <v>360</v>
      </c>
      <c r="AJ53" s="294">
        <v>45542.0</v>
      </c>
      <c r="AK53" s="292">
        <v>1837.93</v>
      </c>
      <c r="AL53" s="44">
        <v>0.0</v>
      </c>
      <c r="AO53" s="44"/>
      <c r="AP53" s="294"/>
      <c r="AQ53" s="292"/>
      <c r="AR53" s="44"/>
    </row>
    <row r="54" ht="15.75" customHeight="1">
      <c r="B54" s="272" t="s">
        <v>2</v>
      </c>
      <c r="C54" s="117"/>
      <c r="D54" s="117"/>
      <c r="E54" s="117"/>
      <c r="F54" s="117"/>
      <c r="G54" s="117"/>
      <c r="H54" s="118"/>
      <c r="K54" s="44"/>
      <c r="L54" s="156"/>
      <c r="M54" s="292"/>
      <c r="N54" s="297"/>
      <c r="R54" s="333"/>
      <c r="S54" s="5"/>
      <c r="T54" s="112"/>
      <c r="W54" s="44" t="s">
        <v>348</v>
      </c>
      <c r="X54" s="294">
        <v>45533.0</v>
      </c>
      <c r="Y54" s="292">
        <v>147.35</v>
      </c>
      <c r="Z54" s="44">
        <v>0.0</v>
      </c>
      <c r="AC54" s="44" t="s">
        <v>341</v>
      </c>
      <c r="AD54" s="294">
        <v>45542.0</v>
      </c>
      <c r="AE54" s="292">
        <v>60.0</v>
      </c>
      <c r="AF54" s="44" t="s">
        <v>359</v>
      </c>
      <c r="AI54" s="44"/>
      <c r="AJ54" s="294"/>
      <c r="AK54" s="292"/>
      <c r="AL54" s="44"/>
      <c r="AO54" s="44"/>
      <c r="AP54" s="294"/>
      <c r="AQ54" s="292"/>
      <c r="AR54" s="44"/>
    </row>
    <row r="55" ht="15.75" customHeight="1">
      <c r="B55" s="274" t="s">
        <v>8</v>
      </c>
      <c r="C55" s="275" t="s">
        <v>9</v>
      </c>
      <c r="D55" s="276" t="s">
        <v>10</v>
      </c>
      <c r="E55" s="277" t="s">
        <v>11</v>
      </c>
      <c r="F55" s="278" t="s">
        <v>12</v>
      </c>
      <c r="G55" s="279" t="s">
        <v>13</v>
      </c>
      <c r="H55" s="280" t="s">
        <v>14</v>
      </c>
      <c r="K55" s="44"/>
      <c r="L55" s="156"/>
      <c r="M55" s="292"/>
      <c r="N55" s="297"/>
      <c r="R55" s="333"/>
      <c r="S55" s="5"/>
      <c r="T55" s="112"/>
      <c r="W55" s="44" t="s">
        <v>353</v>
      </c>
      <c r="X55" s="294">
        <v>45541.0</v>
      </c>
      <c r="Y55" s="292">
        <v>199.96</v>
      </c>
      <c r="Z55" s="44">
        <v>0.0</v>
      </c>
      <c r="AC55" s="44" t="s">
        <v>363</v>
      </c>
      <c r="AD55" s="294">
        <v>45544.0</v>
      </c>
      <c r="AE55" s="292">
        <v>50.0</v>
      </c>
      <c r="AF55" s="44" t="s">
        <v>359</v>
      </c>
      <c r="AI55" s="44"/>
      <c r="AJ55" s="294"/>
      <c r="AK55" s="292"/>
      <c r="AL55" s="44"/>
      <c r="AO55" s="44"/>
      <c r="AP55" s="294"/>
      <c r="AQ55" s="292"/>
      <c r="AR55" s="44"/>
    </row>
    <row r="56" ht="15.75" customHeight="1">
      <c r="B56" s="285" t="s">
        <v>372</v>
      </c>
      <c r="C56" s="286">
        <v>45553.0</v>
      </c>
      <c r="D56" s="287">
        <v>45553.0</v>
      </c>
      <c r="E56" s="288">
        <v>100.0</v>
      </c>
      <c r="F56" s="289" t="s">
        <v>145</v>
      </c>
      <c r="G56" s="290"/>
      <c r="H56" s="291"/>
      <c r="K56" s="326" t="s">
        <v>46</v>
      </c>
      <c r="L56" s="251"/>
      <c r="M56" s="327">
        <f>SUM(M50:M55)</f>
        <v>2970</v>
      </c>
      <c r="N56" s="264"/>
      <c r="R56" s="333"/>
      <c r="S56" s="5"/>
      <c r="T56" s="112"/>
      <c r="W56" s="44" t="s">
        <v>356</v>
      </c>
      <c r="X56" s="294">
        <v>45541.0</v>
      </c>
      <c r="Y56" s="292">
        <v>198.5</v>
      </c>
      <c r="Z56" s="44">
        <v>0.0</v>
      </c>
      <c r="AC56" s="44"/>
      <c r="AD56" s="294"/>
      <c r="AE56" s="292"/>
      <c r="AF56" s="44"/>
      <c r="AI56" s="44"/>
      <c r="AJ56" s="294"/>
      <c r="AK56" s="292"/>
      <c r="AL56" s="44"/>
      <c r="AO56" s="44"/>
      <c r="AP56" s="294"/>
      <c r="AQ56" s="292"/>
      <c r="AR56" s="44"/>
    </row>
    <row r="57" ht="15.75" customHeight="1">
      <c r="B57" s="293" t="s">
        <v>26</v>
      </c>
      <c r="C57" s="160">
        <v>45553.0</v>
      </c>
      <c r="D57" s="294">
        <v>45553.0</v>
      </c>
      <c r="E57" s="295">
        <v>500.0</v>
      </c>
      <c r="F57" s="289" t="s">
        <v>145</v>
      </c>
      <c r="G57" s="296"/>
      <c r="H57" s="297"/>
      <c r="K57" s="255"/>
      <c r="L57" s="256"/>
      <c r="M57" s="257"/>
      <c r="N57" s="264"/>
      <c r="R57" s="333"/>
      <c r="S57" s="5"/>
      <c r="T57" s="112"/>
      <c r="W57" s="44" t="s">
        <v>361</v>
      </c>
      <c r="X57" s="294">
        <v>45542.0</v>
      </c>
      <c r="Y57" s="292">
        <v>289.0</v>
      </c>
      <c r="Z57" s="44">
        <v>0.0</v>
      </c>
      <c r="AC57" s="44"/>
      <c r="AD57" s="294"/>
      <c r="AE57" s="292"/>
      <c r="AF57" s="44"/>
      <c r="AI57" s="44"/>
      <c r="AJ57" s="294"/>
      <c r="AK57" s="292"/>
      <c r="AL57" s="44"/>
      <c r="AO57" s="44"/>
      <c r="AP57" s="294"/>
      <c r="AQ57" s="292"/>
      <c r="AR57" s="44"/>
    </row>
    <row r="58" ht="15.75" customHeight="1">
      <c r="B58" s="293" t="s">
        <v>365</v>
      </c>
      <c r="C58" s="160">
        <v>45554.0</v>
      </c>
      <c r="D58" s="294">
        <v>45554.0</v>
      </c>
      <c r="E58" s="295">
        <v>375.0</v>
      </c>
      <c r="F58" s="289" t="s">
        <v>145</v>
      </c>
      <c r="G58" s="296"/>
      <c r="H58" s="297" t="s">
        <v>373</v>
      </c>
      <c r="L58" s="4"/>
      <c r="M58" s="5"/>
      <c r="N58" s="112"/>
      <c r="R58" s="333"/>
      <c r="S58" s="5"/>
      <c r="T58" s="112"/>
      <c r="W58" s="324" t="s">
        <v>362</v>
      </c>
      <c r="X58" s="319">
        <v>45544.0</v>
      </c>
      <c r="Y58" s="325">
        <v>359.0</v>
      </c>
      <c r="Z58" s="44">
        <v>0.0</v>
      </c>
      <c r="AC58" s="44"/>
      <c r="AD58" s="294"/>
      <c r="AE58" s="292"/>
      <c r="AF58" s="44"/>
      <c r="AI58" s="44"/>
      <c r="AJ58" s="294"/>
      <c r="AK58" s="292"/>
      <c r="AL58" s="44"/>
      <c r="AO58" s="44"/>
      <c r="AP58" s="294"/>
      <c r="AQ58" s="292"/>
      <c r="AR58" s="44"/>
    </row>
    <row r="59" ht="15.75" customHeight="1">
      <c r="B59" s="293" t="s">
        <v>137</v>
      </c>
      <c r="C59" s="160">
        <v>45555.0</v>
      </c>
      <c r="D59" s="294">
        <v>45555.0</v>
      </c>
      <c r="E59" s="295">
        <v>500.0</v>
      </c>
      <c r="F59" s="289" t="s">
        <v>145</v>
      </c>
      <c r="G59" s="296"/>
      <c r="H59" s="297"/>
      <c r="L59" s="4"/>
      <c r="M59" s="5"/>
      <c r="N59" s="112"/>
      <c r="R59" s="333"/>
      <c r="S59" s="5"/>
      <c r="T59" s="112"/>
      <c r="W59" s="356" t="s">
        <v>46</v>
      </c>
      <c r="X59" s="251"/>
      <c r="Y59" s="369">
        <f>SUM(Y50:Y58)</f>
        <v>2285.06</v>
      </c>
      <c r="AC59" s="370" t="s">
        <v>46</v>
      </c>
      <c r="AD59" s="371"/>
      <c r="AE59" s="372">
        <f>SUM(AE50:AE58)</f>
        <v>470</v>
      </c>
      <c r="AI59" s="370" t="s">
        <v>46</v>
      </c>
      <c r="AJ59" s="371"/>
      <c r="AK59" s="372">
        <f>SUM(AK50:AK58)</f>
        <v>3947.93</v>
      </c>
      <c r="AO59" s="370" t="s">
        <v>46</v>
      </c>
      <c r="AP59" s="371"/>
      <c r="AQ59" s="372">
        <f>SUM(AQ50:AQ58)</f>
        <v>1131.75</v>
      </c>
    </row>
    <row r="60" ht="15.75" customHeight="1">
      <c r="B60" s="293" t="s">
        <v>271</v>
      </c>
      <c r="C60" s="160">
        <v>45555.0</v>
      </c>
      <c r="D60" s="294">
        <v>45555.0</v>
      </c>
      <c r="E60" s="295">
        <v>500.0</v>
      </c>
      <c r="F60" s="289" t="s">
        <v>145</v>
      </c>
      <c r="G60" s="296"/>
      <c r="H60" s="297"/>
      <c r="L60" s="4"/>
      <c r="M60" s="5"/>
      <c r="N60" s="112"/>
      <c r="R60" s="333"/>
      <c r="S60" s="5"/>
      <c r="T60" s="112"/>
      <c r="W60" s="255"/>
      <c r="X60" s="256"/>
      <c r="Y60" s="257"/>
      <c r="AC60" s="255"/>
      <c r="AD60" s="363"/>
      <c r="AE60" s="364"/>
      <c r="AI60" s="255"/>
      <c r="AJ60" s="363"/>
      <c r="AK60" s="364"/>
      <c r="AO60" s="255"/>
      <c r="AP60" s="363"/>
      <c r="AQ60" s="364"/>
    </row>
    <row r="61" ht="15.75" customHeight="1">
      <c r="B61" s="293" t="s">
        <v>32</v>
      </c>
      <c r="C61" s="160">
        <v>45556.0</v>
      </c>
      <c r="D61" s="294">
        <v>45556.0</v>
      </c>
      <c r="E61" s="295">
        <v>300.0</v>
      </c>
      <c r="F61" s="289" t="s">
        <v>145</v>
      </c>
      <c r="G61" s="296"/>
      <c r="H61" s="297"/>
      <c r="L61" s="4"/>
      <c r="M61" s="5"/>
      <c r="N61" s="112"/>
      <c r="R61" s="333"/>
      <c r="S61" s="5"/>
      <c r="T61" s="112"/>
      <c r="W61" s="367" t="s">
        <v>17</v>
      </c>
      <c r="X61" s="251"/>
      <c r="Y61" s="368">
        <f>Y45</f>
        <v>2285.06</v>
      </c>
      <c r="AC61" s="367" t="s">
        <v>17</v>
      </c>
      <c r="AD61" s="251"/>
      <c r="AE61" s="368">
        <f>AE45</f>
        <v>470</v>
      </c>
      <c r="AI61" s="367" t="s">
        <v>17</v>
      </c>
      <c r="AJ61" s="251"/>
      <c r="AK61" s="368">
        <f>AK45</f>
        <v>3947.93</v>
      </c>
      <c r="AO61" s="367" t="s">
        <v>17</v>
      </c>
      <c r="AP61" s="251"/>
      <c r="AQ61" s="368">
        <f>AQ45</f>
        <v>1131.75</v>
      </c>
    </row>
    <row r="62" ht="15.75" customHeight="1">
      <c r="B62" s="293" t="s">
        <v>133</v>
      </c>
      <c r="C62" s="160">
        <v>45558.0</v>
      </c>
      <c r="D62" s="294">
        <v>45558.0</v>
      </c>
      <c r="E62" s="295">
        <v>500.0</v>
      </c>
      <c r="F62" s="289" t="s">
        <v>145</v>
      </c>
      <c r="G62" s="296"/>
      <c r="H62" s="297"/>
      <c r="L62" s="4"/>
      <c r="M62" s="5"/>
      <c r="N62" s="112"/>
      <c r="R62" s="333"/>
      <c r="S62" s="5"/>
      <c r="T62" s="112"/>
      <c r="W62" s="255"/>
      <c r="X62" s="256"/>
      <c r="Y62" s="257"/>
      <c r="AC62" s="255"/>
      <c r="AD62" s="256"/>
      <c r="AE62" s="257"/>
      <c r="AI62" s="255"/>
      <c r="AJ62" s="256"/>
      <c r="AK62" s="257"/>
      <c r="AO62" s="255"/>
      <c r="AP62" s="256"/>
      <c r="AQ62" s="257"/>
    </row>
    <row r="63" ht="15.75" customHeight="1">
      <c r="B63" s="293" t="s">
        <v>300</v>
      </c>
      <c r="C63" s="160">
        <v>45559.0</v>
      </c>
      <c r="D63" s="294">
        <v>45559.0</v>
      </c>
      <c r="E63" s="295">
        <v>500.0</v>
      </c>
      <c r="F63" s="289" t="s">
        <v>145</v>
      </c>
      <c r="G63" s="296"/>
      <c r="H63" s="297"/>
      <c r="L63" s="4"/>
      <c r="M63" s="5"/>
      <c r="N63" s="112"/>
      <c r="R63" s="333"/>
      <c r="S63" s="5"/>
      <c r="T63" s="112"/>
      <c r="X63" s="333"/>
      <c r="Y63" s="5"/>
      <c r="AD63" s="333"/>
      <c r="AE63" s="5"/>
      <c r="AJ63" s="333"/>
      <c r="AK63" s="5"/>
      <c r="AP63" s="333"/>
      <c r="AQ63" s="5"/>
    </row>
    <row r="64" ht="15.75" customHeight="1">
      <c r="B64" s="293" t="s">
        <v>26</v>
      </c>
      <c r="C64" s="160">
        <v>45560.0</v>
      </c>
      <c r="D64" s="294">
        <v>45560.0</v>
      </c>
      <c r="E64" s="295">
        <v>500.0</v>
      </c>
      <c r="F64" s="289" t="s">
        <v>145</v>
      </c>
      <c r="G64" s="296"/>
      <c r="H64" s="297"/>
      <c r="K64" s="273" t="s">
        <v>3</v>
      </c>
      <c r="L64" s="117"/>
      <c r="M64" s="117"/>
      <c r="N64" s="118"/>
      <c r="R64" s="333"/>
      <c r="S64" s="5"/>
      <c r="T64" s="112"/>
      <c r="X64" s="333"/>
      <c r="Y64" s="5"/>
      <c r="AD64" s="333"/>
      <c r="AE64" s="5"/>
      <c r="AJ64" s="333"/>
      <c r="AK64" s="5"/>
      <c r="AP64" s="333"/>
      <c r="AQ64" s="5"/>
    </row>
    <row r="65" ht="15.75" customHeight="1">
      <c r="B65" s="293" t="s">
        <v>61</v>
      </c>
      <c r="C65" s="160">
        <v>45560.0</v>
      </c>
      <c r="D65" s="294">
        <v>45560.0</v>
      </c>
      <c r="E65" s="295">
        <v>500.0</v>
      </c>
      <c r="F65" s="289" t="s">
        <v>145</v>
      </c>
      <c r="G65" s="296"/>
      <c r="H65" s="297"/>
      <c r="K65" s="281" t="s">
        <v>15</v>
      </c>
      <c r="L65" s="282" t="s">
        <v>9</v>
      </c>
      <c r="M65" s="283" t="s">
        <v>11</v>
      </c>
      <c r="N65" s="284" t="s">
        <v>16</v>
      </c>
      <c r="R65" s="333"/>
      <c r="S65" s="5"/>
      <c r="T65" s="112"/>
      <c r="X65" s="333"/>
      <c r="Y65" s="5"/>
      <c r="AD65" s="333"/>
      <c r="AE65" s="5"/>
      <c r="AJ65" s="333"/>
      <c r="AK65" s="5"/>
      <c r="AP65" s="333"/>
      <c r="AQ65" s="5"/>
    </row>
    <row r="66" ht="15.75" customHeight="1">
      <c r="B66" s="293" t="s">
        <v>137</v>
      </c>
      <c r="C66" s="160">
        <v>45562.0</v>
      </c>
      <c r="D66" s="294">
        <v>45562.0</v>
      </c>
      <c r="E66" s="295">
        <v>500.0</v>
      </c>
      <c r="F66" s="289" t="s">
        <v>145</v>
      </c>
      <c r="G66" s="296"/>
      <c r="H66" s="297"/>
      <c r="K66" s="307" t="s">
        <v>374</v>
      </c>
      <c r="L66" s="308">
        <v>45557.0</v>
      </c>
      <c r="M66" s="373">
        <v>1000.0</v>
      </c>
      <c r="N66" s="331" t="s">
        <v>375</v>
      </c>
      <c r="R66" s="333"/>
      <c r="S66" s="5"/>
      <c r="T66" s="112"/>
      <c r="X66" s="333"/>
      <c r="Y66" s="5"/>
      <c r="AD66" s="333"/>
      <c r="AE66" s="5"/>
      <c r="AJ66" s="333"/>
      <c r="AK66" s="5"/>
      <c r="AP66" s="333"/>
      <c r="AQ66" s="5"/>
    </row>
    <row r="67" ht="15.75" customHeight="1">
      <c r="B67" s="293" t="s">
        <v>32</v>
      </c>
      <c r="C67" s="160">
        <v>45563.0</v>
      </c>
      <c r="D67" s="294">
        <v>45563.0</v>
      </c>
      <c r="E67" s="295">
        <v>300.0</v>
      </c>
      <c r="F67" s="289" t="s">
        <v>145</v>
      </c>
      <c r="G67" s="296"/>
      <c r="H67" s="297"/>
      <c r="K67" s="307" t="s">
        <v>376</v>
      </c>
      <c r="L67" s="308">
        <v>45558.0</v>
      </c>
      <c r="M67" s="373">
        <v>1000.0</v>
      </c>
      <c r="N67" s="331" t="s">
        <v>377</v>
      </c>
      <c r="R67" s="333"/>
      <c r="S67" s="5"/>
      <c r="T67" s="112"/>
      <c r="X67" s="333"/>
      <c r="Y67" s="5"/>
      <c r="AD67" s="333"/>
      <c r="AE67" s="5"/>
      <c r="AJ67" s="333"/>
      <c r="AK67" s="5"/>
      <c r="AP67" s="333"/>
      <c r="AQ67" s="5"/>
    </row>
    <row r="68" ht="15.75" customHeight="1">
      <c r="B68" s="293" t="s">
        <v>378</v>
      </c>
      <c r="C68" s="160">
        <v>45564.0</v>
      </c>
      <c r="D68" s="294">
        <v>45564.0</v>
      </c>
      <c r="E68" s="295">
        <v>500.0</v>
      </c>
      <c r="F68" s="289" t="s">
        <v>145</v>
      </c>
      <c r="G68" s="296"/>
      <c r="H68" s="297"/>
      <c r="K68" s="307" t="s">
        <v>379</v>
      </c>
      <c r="L68" s="308">
        <v>45559.0</v>
      </c>
      <c r="M68" s="373">
        <v>1000.0</v>
      </c>
      <c r="N68" s="331" t="s">
        <v>380</v>
      </c>
      <c r="R68" s="333"/>
      <c r="S68" s="5"/>
      <c r="T68" s="112"/>
      <c r="X68" s="333"/>
      <c r="Y68" s="5"/>
      <c r="AD68" s="333"/>
      <c r="AE68" s="5"/>
      <c r="AJ68" s="333"/>
      <c r="AK68" s="5"/>
      <c r="AP68" s="333"/>
      <c r="AQ68" s="5"/>
    </row>
    <row r="69" ht="15.75" customHeight="1">
      <c r="B69" s="293" t="s">
        <v>133</v>
      </c>
      <c r="C69" s="160">
        <v>45565.0</v>
      </c>
      <c r="D69" s="294">
        <v>45565.0</v>
      </c>
      <c r="E69" s="295">
        <v>500.0</v>
      </c>
      <c r="F69" s="289" t="s">
        <v>145</v>
      </c>
      <c r="G69" s="296"/>
      <c r="H69" s="297"/>
      <c r="K69" s="307" t="s">
        <v>381</v>
      </c>
      <c r="L69" s="308">
        <v>45563.0</v>
      </c>
      <c r="M69" s="373">
        <v>2000.0</v>
      </c>
      <c r="N69" s="331" t="s">
        <v>382</v>
      </c>
      <c r="R69" s="333"/>
      <c r="S69" s="5"/>
      <c r="T69" s="112"/>
      <c r="X69" s="333"/>
      <c r="Y69" s="5"/>
      <c r="AD69" s="333"/>
      <c r="AE69" s="5"/>
      <c r="AJ69" s="333"/>
      <c r="AK69" s="5"/>
      <c r="AP69" s="333"/>
      <c r="AQ69" s="5"/>
    </row>
    <row r="70" ht="15.75" customHeight="1">
      <c r="B70" s="293" t="s">
        <v>383</v>
      </c>
      <c r="C70" s="160">
        <v>45567.0</v>
      </c>
      <c r="D70" s="294">
        <v>45567.0</v>
      </c>
      <c r="E70" s="295">
        <v>2200.0</v>
      </c>
      <c r="F70" s="289" t="s">
        <v>145</v>
      </c>
      <c r="G70" s="296"/>
      <c r="H70" s="297"/>
      <c r="K70" s="307" t="s">
        <v>384</v>
      </c>
      <c r="L70" s="308">
        <v>45568.0</v>
      </c>
      <c r="M70" s="373">
        <v>1000.0</v>
      </c>
      <c r="N70" s="331" t="s">
        <v>385</v>
      </c>
      <c r="R70" s="333"/>
      <c r="S70" s="5"/>
      <c r="T70" s="112"/>
      <c r="X70" s="333"/>
      <c r="Y70" s="5"/>
      <c r="AD70" s="333"/>
      <c r="AE70" s="5"/>
      <c r="AJ70" s="333"/>
      <c r="AK70" s="5"/>
      <c r="AP70" s="333"/>
      <c r="AQ70" s="5"/>
    </row>
    <row r="71" ht="15.75" customHeight="1">
      <c r="B71" s="293" t="s">
        <v>386</v>
      </c>
      <c r="C71" s="160">
        <v>45567.0</v>
      </c>
      <c r="D71" s="294">
        <v>45567.0</v>
      </c>
      <c r="E71" s="295">
        <v>100.0</v>
      </c>
      <c r="F71" s="289" t="s">
        <v>145</v>
      </c>
      <c r="G71" s="296"/>
      <c r="H71" s="297"/>
      <c r="K71" s="44" t="s">
        <v>387</v>
      </c>
      <c r="L71" s="156">
        <v>45578.0</v>
      </c>
      <c r="M71" s="292">
        <v>500.0</v>
      </c>
      <c r="N71" s="306" t="s">
        <v>388</v>
      </c>
      <c r="R71" s="333"/>
      <c r="S71" s="5"/>
      <c r="T71" s="112"/>
      <c r="X71" s="333"/>
      <c r="Y71" s="5"/>
      <c r="AD71" s="333"/>
      <c r="AE71" s="5"/>
      <c r="AJ71" s="333"/>
      <c r="AK71" s="5"/>
      <c r="AP71" s="333"/>
      <c r="AQ71" s="5"/>
    </row>
    <row r="72" ht="15.75" customHeight="1">
      <c r="B72" s="293" t="s">
        <v>26</v>
      </c>
      <c r="C72" s="160">
        <v>45567.0</v>
      </c>
      <c r="D72" s="294">
        <v>45567.0</v>
      </c>
      <c r="E72" s="295">
        <v>500.0</v>
      </c>
      <c r="F72" s="289" t="s">
        <v>145</v>
      </c>
      <c r="G72" s="296"/>
      <c r="H72" s="297"/>
      <c r="K72" s="44" t="s">
        <v>389</v>
      </c>
      <c r="L72" s="156">
        <v>45581.0</v>
      </c>
      <c r="M72" s="292">
        <v>500.0</v>
      </c>
      <c r="N72" s="306" t="s">
        <v>390</v>
      </c>
      <c r="R72" s="333"/>
      <c r="S72" s="5"/>
      <c r="T72" s="112"/>
      <c r="X72" s="333"/>
      <c r="Y72" s="5"/>
      <c r="AD72" s="333"/>
      <c r="AE72" s="5"/>
      <c r="AJ72" s="333"/>
      <c r="AK72" s="5"/>
      <c r="AP72" s="333"/>
      <c r="AQ72" s="5"/>
    </row>
    <row r="73" ht="15.75" customHeight="1">
      <c r="B73" s="293" t="s">
        <v>365</v>
      </c>
      <c r="C73" s="160">
        <v>45568.0</v>
      </c>
      <c r="D73" s="294">
        <v>45568.0</v>
      </c>
      <c r="E73" s="295">
        <v>500.0</v>
      </c>
      <c r="F73" s="289" t="s">
        <v>145</v>
      </c>
      <c r="G73" s="296"/>
      <c r="H73" s="297"/>
      <c r="K73" s="44" t="s">
        <v>391</v>
      </c>
      <c r="L73" s="156">
        <v>45583.0</v>
      </c>
      <c r="M73" s="292">
        <v>100.0</v>
      </c>
      <c r="N73" s="306" t="s">
        <v>392</v>
      </c>
      <c r="R73" s="333"/>
      <c r="S73" s="5"/>
      <c r="T73" s="112"/>
      <c r="X73" s="333"/>
      <c r="Y73" s="5"/>
      <c r="AD73" s="333"/>
      <c r="AE73" s="5"/>
      <c r="AJ73" s="333"/>
      <c r="AK73" s="5"/>
      <c r="AP73" s="333"/>
      <c r="AQ73" s="5"/>
    </row>
    <row r="74" ht="15.75" customHeight="1">
      <c r="B74" s="293" t="s">
        <v>393</v>
      </c>
      <c r="C74" s="156">
        <v>45568.0</v>
      </c>
      <c r="D74" s="294">
        <v>45568.0</v>
      </c>
      <c r="E74" s="295">
        <v>500.0</v>
      </c>
      <c r="F74" s="289" t="s">
        <v>145</v>
      </c>
      <c r="G74" s="296"/>
      <c r="H74" s="297"/>
      <c r="K74" s="44" t="s">
        <v>394</v>
      </c>
      <c r="L74" s="156">
        <v>45587.0</v>
      </c>
      <c r="M74" s="292">
        <v>500.0</v>
      </c>
      <c r="N74" s="306" t="s">
        <v>395</v>
      </c>
      <c r="R74" s="333"/>
      <c r="S74" s="5"/>
      <c r="T74" s="112"/>
      <c r="X74" s="333"/>
      <c r="Y74" s="5"/>
      <c r="AD74" s="333"/>
      <c r="AE74" s="5"/>
      <c r="AJ74" s="333"/>
      <c r="AK74" s="5"/>
      <c r="AP74" s="333"/>
      <c r="AQ74" s="5"/>
    </row>
    <row r="75" ht="15.75" customHeight="1">
      <c r="B75" s="293" t="s">
        <v>137</v>
      </c>
      <c r="C75" s="160">
        <v>45569.0</v>
      </c>
      <c r="D75" s="294">
        <v>45569.0</v>
      </c>
      <c r="E75" s="295">
        <v>500.0</v>
      </c>
      <c r="F75" s="289" t="s">
        <v>145</v>
      </c>
      <c r="G75" s="296"/>
      <c r="H75" s="297"/>
      <c r="K75" s="44" t="s">
        <v>396</v>
      </c>
      <c r="L75" s="156">
        <v>45589.0</v>
      </c>
      <c r="M75" s="292">
        <v>1000.0</v>
      </c>
      <c r="N75" s="306" t="s">
        <v>397</v>
      </c>
      <c r="R75" s="333"/>
      <c r="S75" s="5"/>
      <c r="T75" s="112"/>
      <c r="X75" s="333"/>
      <c r="Y75" s="5"/>
      <c r="AD75" s="333"/>
      <c r="AE75" s="5"/>
      <c r="AJ75" s="333"/>
      <c r="AK75" s="5"/>
      <c r="AP75" s="333"/>
      <c r="AQ75" s="5"/>
    </row>
    <row r="76" ht="15.75" customHeight="1">
      <c r="B76" s="293" t="s">
        <v>271</v>
      </c>
      <c r="C76" s="160">
        <v>45569.0</v>
      </c>
      <c r="D76" s="294">
        <v>45569.0</v>
      </c>
      <c r="E76" s="295">
        <v>500.0</v>
      </c>
      <c r="F76" s="310"/>
      <c r="G76" s="296"/>
      <c r="H76" s="297"/>
      <c r="K76" s="44" t="s">
        <v>398</v>
      </c>
      <c r="L76" s="156">
        <v>45590.0</v>
      </c>
      <c r="M76" s="292">
        <v>400.0</v>
      </c>
      <c r="N76" s="306" t="s">
        <v>399</v>
      </c>
      <c r="R76" s="333"/>
      <c r="S76" s="5"/>
      <c r="T76" s="112"/>
      <c r="X76" s="333"/>
      <c r="Y76" s="5"/>
      <c r="AD76" s="333"/>
      <c r="AE76" s="5"/>
      <c r="AJ76" s="333"/>
      <c r="AK76" s="5"/>
      <c r="AP76" s="333"/>
      <c r="AQ76" s="5"/>
    </row>
    <row r="77" ht="15.75" customHeight="1">
      <c r="B77" s="293" t="s">
        <v>133</v>
      </c>
      <c r="C77" s="160">
        <v>45572.0</v>
      </c>
      <c r="D77" s="294">
        <v>45572.0</v>
      </c>
      <c r="E77" s="295">
        <v>500.0</v>
      </c>
      <c r="F77" s="310"/>
      <c r="G77" s="296"/>
      <c r="H77" s="297"/>
      <c r="K77" s="44" t="s">
        <v>400</v>
      </c>
      <c r="L77" s="156">
        <v>45597.0</v>
      </c>
      <c r="M77" s="292">
        <v>2000.0</v>
      </c>
      <c r="N77" s="306" t="s">
        <v>401</v>
      </c>
      <c r="O77" s="5"/>
      <c r="R77" s="333"/>
      <c r="S77" s="5"/>
      <c r="T77" s="112"/>
      <c r="X77" s="333"/>
      <c r="Y77" s="5"/>
      <c r="AD77" s="333"/>
      <c r="AE77" s="5"/>
      <c r="AJ77" s="333"/>
      <c r="AK77" s="5"/>
      <c r="AP77" s="333"/>
      <c r="AQ77" s="5"/>
    </row>
    <row r="78" ht="15.75" customHeight="1">
      <c r="B78" s="293" t="s">
        <v>378</v>
      </c>
      <c r="C78" s="160">
        <v>45572.0</v>
      </c>
      <c r="D78" s="294">
        <v>45572.0</v>
      </c>
      <c r="E78" s="295">
        <v>500.0</v>
      </c>
      <c r="F78" s="310"/>
      <c r="G78" s="296"/>
      <c r="H78" s="297"/>
      <c r="K78" s="44"/>
      <c r="L78" s="156"/>
      <c r="M78" s="292"/>
      <c r="N78" s="297"/>
      <c r="R78" s="333"/>
      <c r="S78" s="5"/>
      <c r="T78" s="112"/>
      <c r="X78" s="333"/>
      <c r="Y78" s="5"/>
      <c r="AD78" s="333"/>
      <c r="AE78" s="5"/>
      <c r="AJ78" s="333"/>
      <c r="AK78" s="5"/>
      <c r="AP78" s="333"/>
      <c r="AQ78" s="5"/>
    </row>
    <row r="79" ht="15.75" customHeight="1">
      <c r="B79" s="293" t="s">
        <v>300</v>
      </c>
      <c r="C79" s="160">
        <v>45573.0</v>
      </c>
      <c r="D79" s="294">
        <v>45573.0</v>
      </c>
      <c r="E79" s="295">
        <v>500.0</v>
      </c>
      <c r="F79" s="310"/>
      <c r="G79" s="296"/>
      <c r="H79" s="297"/>
      <c r="K79" s="44"/>
      <c r="L79" s="156"/>
      <c r="M79" s="292"/>
      <c r="N79" s="297"/>
      <c r="R79" s="333"/>
      <c r="S79" s="5"/>
      <c r="T79" s="112"/>
      <c r="X79" s="333"/>
      <c r="Y79" s="5"/>
      <c r="AD79" s="333"/>
      <c r="AE79" s="5"/>
      <c r="AJ79" s="333"/>
      <c r="AK79" s="5"/>
      <c r="AP79" s="333"/>
      <c r="AQ79" s="5"/>
    </row>
    <row r="80" ht="15.75" customHeight="1">
      <c r="B80" s="293" t="s">
        <v>372</v>
      </c>
      <c r="C80" s="160">
        <v>45574.0</v>
      </c>
      <c r="D80" s="294">
        <v>45574.0</v>
      </c>
      <c r="E80" s="295">
        <v>100.0</v>
      </c>
      <c r="F80" s="310"/>
      <c r="G80" s="296"/>
      <c r="H80" s="297"/>
      <c r="K80" s="44"/>
      <c r="L80" s="156"/>
      <c r="M80" s="292"/>
      <c r="N80" s="297"/>
      <c r="R80" s="333"/>
      <c r="S80" s="5"/>
      <c r="T80" s="112"/>
      <c r="X80" s="333"/>
      <c r="Y80" s="5"/>
      <c r="AD80" s="333"/>
      <c r="AE80" s="5"/>
      <c r="AJ80" s="333"/>
      <c r="AK80" s="5"/>
      <c r="AP80" s="333"/>
      <c r="AQ80" s="5"/>
    </row>
    <row r="81" ht="15.75" customHeight="1">
      <c r="B81" s="293" t="s">
        <v>26</v>
      </c>
      <c r="C81" s="160">
        <v>45574.0</v>
      </c>
      <c r="D81" s="294">
        <v>45574.0</v>
      </c>
      <c r="E81" s="295">
        <v>500.0</v>
      </c>
      <c r="F81" s="310"/>
      <c r="G81" s="296"/>
      <c r="H81" s="297"/>
      <c r="K81" s="44"/>
      <c r="L81" s="156"/>
      <c r="M81" s="292"/>
      <c r="N81" s="297"/>
      <c r="R81" s="333"/>
      <c r="S81" s="5"/>
      <c r="T81" s="112"/>
      <c r="X81" s="333"/>
      <c r="Y81" s="5"/>
      <c r="AD81" s="333"/>
      <c r="AE81" s="5"/>
      <c r="AJ81" s="333"/>
      <c r="AK81" s="5"/>
      <c r="AP81" s="333"/>
      <c r="AQ81" s="5"/>
    </row>
    <row r="82" ht="15.75" customHeight="1">
      <c r="B82" s="293" t="s">
        <v>61</v>
      </c>
      <c r="C82" s="160">
        <v>45574.0</v>
      </c>
      <c r="D82" s="294">
        <v>45574.0</v>
      </c>
      <c r="E82" s="295">
        <v>500.0</v>
      </c>
      <c r="F82" s="310"/>
      <c r="G82" s="296"/>
      <c r="H82" s="297"/>
      <c r="K82" s="44"/>
      <c r="L82" s="156"/>
      <c r="M82" s="292"/>
      <c r="N82" s="297"/>
      <c r="R82" s="333"/>
      <c r="S82" s="5"/>
      <c r="T82" s="112"/>
      <c r="X82" s="333"/>
      <c r="Y82" s="5"/>
      <c r="AD82" s="333"/>
      <c r="AE82" s="5"/>
      <c r="AJ82" s="333"/>
      <c r="AK82" s="5"/>
      <c r="AP82" s="333"/>
      <c r="AQ82" s="5"/>
    </row>
    <row r="83" ht="15.75" customHeight="1">
      <c r="B83" s="293" t="s">
        <v>271</v>
      </c>
      <c r="C83" s="160">
        <v>45576.0</v>
      </c>
      <c r="D83" s="294">
        <v>45576.0</v>
      </c>
      <c r="E83" s="295">
        <v>250.0</v>
      </c>
      <c r="F83" s="310"/>
      <c r="G83" s="296">
        <v>50.0</v>
      </c>
      <c r="H83" s="297"/>
      <c r="K83" s="44"/>
      <c r="L83" s="156"/>
      <c r="M83" s="292"/>
      <c r="N83" s="297"/>
      <c r="R83" s="333"/>
      <c r="S83" s="5"/>
      <c r="T83" s="112"/>
      <c r="X83" s="333"/>
      <c r="Y83" s="5"/>
      <c r="AD83" s="333"/>
      <c r="AE83" s="5"/>
      <c r="AJ83" s="333"/>
      <c r="AK83" s="5"/>
      <c r="AP83" s="333"/>
      <c r="AQ83" s="5"/>
    </row>
    <row r="84" ht="15.75" customHeight="1">
      <c r="B84" s="293" t="s">
        <v>133</v>
      </c>
      <c r="C84" s="160">
        <v>45579.0</v>
      </c>
      <c r="D84" s="294">
        <v>45579.0</v>
      </c>
      <c r="E84" s="295">
        <v>750.0</v>
      </c>
      <c r="F84" s="310"/>
      <c r="G84" s="296"/>
      <c r="H84" s="297"/>
      <c r="K84" s="44"/>
      <c r="L84" s="156"/>
      <c r="M84" s="292"/>
      <c r="N84" s="297"/>
      <c r="R84" s="333"/>
      <c r="S84" s="5"/>
      <c r="T84" s="112"/>
      <c r="X84" s="333"/>
      <c r="Y84" s="5"/>
      <c r="AD84" s="333"/>
      <c r="AE84" s="5"/>
      <c r="AJ84" s="333"/>
      <c r="AK84" s="5"/>
      <c r="AP84" s="333"/>
      <c r="AQ84" s="5"/>
    </row>
    <row r="85" ht="15.75" customHeight="1">
      <c r="B85" s="293" t="s">
        <v>402</v>
      </c>
      <c r="C85" s="160">
        <v>45582.0</v>
      </c>
      <c r="D85" s="294">
        <v>45582.0</v>
      </c>
      <c r="E85" s="295">
        <v>500.0</v>
      </c>
      <c r="F85" s="310"/>
      <c r="G85" s="296"/>
      <c r="H85" s="297"/>
      <c r="K85" s="44"/>
      <c r="L85" s="156"/>
      <c r="M85" s="292"/>
      <c r="N85" s="297"/>
      <c r="R85" s="333"/>
      <c r="S85" s="5"/>
      <c r="T85" s="112"/>
      <c r="X85" s="333"/>
      <c r="Y85" s="5"/>
      <c r="AD85" s="333"/>
      <c r="AE85" s="5"/>
      <c r="AJ85" s="333"/>
      <c r="AK85" s="5"/>
      <c r="AP85" s="333"/>
      <c r="AQ85" s="5"/>
    </row>
    <row r="86" ht="15.75" customHeight="1">
      <c r="B86" s="293" t="s">
        <v>367</v>
      </c>
      <c r="C86" s="160">
        <v>45582.0</v>
      </c>
      <c r="D86" s="294">
        <v>45582.0</v>
      </c>
      <c r="E86" s="295">
        <v>375.0</v>
      </c>
      <c r="F86" s="310"/>
      <c r="G86" s="296"/>
      <c r="H86" s="297"/>
      <c r="K86" s="44"/>
      <c r="L86" s="156"/>
      <c r="M86" s="292"/>
      <c r="N86" s="297"/>
      <c r="R86" s="333"/>
      <c r="S86" s="5"/>
      <c r="T86" s="112"/>
      <c r="X86" s="333"/>
      <c r="Y86" s="5"/>
      <c r="AD86" s="333"/>
      <c r="AE86" s="5"/>
      <c r="AJ86" s="333"/>
      <c r="AK86" s="5"/>
      <c r="AP86" s="333"/>
      <c r="AQ86" s="5"/>
    </row>
    <row r="87" ht="15.75" customHeight="1">
      <c r="B87" s="293" t="s">
        <v>271</v>
      </c>
      <c r="C87" s="160">
        <v>45583.0</v>
      </c>
      <c r="D87" s="294">
        <v>45583.0</v>
      </c>
      <c r="E87" s="295">
        <v>450.0</v>
      </c>
      <c r="F87" s="310"/>
      <c r="G87" s="296"/>
      <c r="H87" s="297"/>
      <c r="K87" s="44"/>
      <c r="L87" s="156"/>
      <c r="M87" s="292"/>
      <c r="N87" s="297"/>
      <c r="R87" s="333"/>
      <c r="S87" s="5"/>
      <c r="T87" s="112"/>
      <c r="X87" s="333"/>
      <c r="Y87" s="5"/>
      <c r="AD87" s="333"/>
      <c r="AE87" s="5"/>
      <c r="AJ87" s="333"/>
      <c r="AK87" s="5"/>
      <c r="AP87" s="333"/>
      <c r="AQ87" s="5"/>
    </row>
    <row r="88" ht="15.75" customHeight="1">
      <c r="B88" s="293" t="s">
        <v>133</v>
      </c>
      <c r="C88" s="160">
        <v>45586.0</v>
      </c>
      <c r="D88" s="294">
        <v>45586.0</v>
      </c>
      <c r="E88" s="295">
        <v>500.0</v>
      </c>
      <c r="F88" s="310"/>
      <c r="G88" s="296"/>
      <c r="H88" s="297"/>
      <c r="K88" s="44"/>
      <c r="L88" s="156"/>
      <c r="M88" s="292"/>
      <c r="N88" s="297"/>
      <c r="R88" s="333"/>
      <c r="S88" s="5"/>
      <c r="T88" s="112"/>
      <c r="X88" s="333"/>
      <c r="Y88" s="5"/>
      <c r="AJ88" s="333"/>
      <c r="AK88" s="5"/>
    </row>
    <row r="89" ht="15.75" customHeight="1">
      <c r="B89" s="293" t="s">
        <v>300</v>
      </c>
      <c r="C89" s="160">
        <v>45587.0</v>
      </c>
      <c r="D89" s="294">
        <v>45587.0</v>
      </c>
      <c r="E89" s="295">
        <v>500.0</v>
      </c>
      <c r="F89" s="310"/>
      <c r="G89" s="296"/>
      <c r="H89" s="297"/>
      <c r="K89" s="44"/>
      <c r="L89" s="156"/>
      <c r="M89" s="292"/>
      <c r="N89" s="297"/>
      <c r="R89" s="333"/>
      <c r="S89" s="5"/>
      <c r="T89" s="112"/>
      <c r="X89" s="333"/>
      <c r="Y89" s="5"/>
      <c r="AJ89" s="333"/>
      <c r="AK89" s="5"/>
    </row>
    <row r="90" ht="15.75" customHeight="1">
      <c r="B90" s="293" t="s">
        <v>26</v>
      </c>
      <c r="C90" s="160">
        <v>45588.0</v>
      </c>
      <c r="D90" s="294">
        <v>45588.0</v>
      </c>
      <c r="E90" s="295">
        <v>500.0</v>
      </c>
      <c r="F90" s="310"/>
      <c r="G90" s="296"/>
      <c r="H90" s="297"/>
      <c r="K90" s="44"/>
      <c r="L90" s="156"/>
      <c r="M90" s="292"/>
      <c r="N90" s="297"/>
      <c r="R90" s="333"/>
      <c r="S90" s="5"/>
      <c r="T90" s="112"/>
      <c r="X90" s="333"/>
      <c r="Y90" s="5"/>
      <c r="AD90" s="333"/>
      <c r="AE90" s="5"/>
      <c r="AJ90" s="333"/>
      <c r="AK90" s="5"/>
      <c r="AP90" s="333"/>
      <c r="AQ90" s="5"/>
    </row>
    <row r="91" ht="15.75" customHeight="1">
      <c r="B91" s="293" t="s">
        <v>271</v>
      </c>
      <c r="C91" s="160">
        <v>45590.0</v>
      </c>
      <c r="D91" s="294">
        <v>45590.0</v>
      </c>
      <c r="E91" s="295">
        <v>500.0</v>
      </c>
      <c r="F91" s="310"/>
      <c r="G91" s="296"/>
      <c r="H91" s="297"/>
      <c r="K91" s="44"/>
      <c r="L91" s="156"/>
      <c r="M91" s="292"/>
      <c r="N91" s="297"/>
      <c r="R91" s="333"/>
      <c r="S91" s="5"/>
      <c r="T91" s="112"/>
      <c r="X91" s="333"/>
      <c r="Y91" s="5"/>
      <c r="AJ91" s="333"/>
      <c r="AK91" s="5"/>
    </row>
    <row r="92" ht="15.75" customHeight="1">
      <c r="B92" s="293" t="s">
        <v>133</v>
      </c>
      <c r="C92" s="156">
        <v>45593.0</v>
      </c>
      <c r="D92" s="294">
        <v>45593.0</v>
      </c>
      <c r="E92" s="295">
        <v>500.0</v>
      </c>
      <c r="F92" s="310"/>
      <c r="G92" s="296"/>
      <c r="H92" s="297"/>
      <c r="K92" s="44"/>
      <c r="L92" s="156"/>
      <c r="M92" s="292"/>
      <c r="N92" s="297"/>
      <c r="R92" s="333"/>
      <c r="S92" s="5"/>
      <c r="T92" s="112"/>
      <c r="X92" s="333"/>
      <c r="Y92" s="5"/>
      <c r="AJ92" s="333"/>
      <c r="AK92" s="5"/>
    </row>
    <row r="93" ht="15.75" customHeight="1">
      <c r="B93" s="293" t="s">
        <v>61</v>
      </c>
      <c r="C93" s="156">
        <v>45593.0</v>
      </c>
      <c r="D93" s="294">
        <v>45593.0</v>
      </c>
      <c r="E93" s="295">
        <v>500.0</v>
      </c>
      <c r="F93" s="310"/>
      <c r="G93" s="296"/>
      <c r="H93" s="297"/>
      <c r="K93" s="44"/>
      <c r="L93" s="156"/>
      <c r="M93" s="292"/>
      <c r="N93" s="297"/>
      <c r="R93" s="333"/>
      <c r="S93" s="5"/>
      <c r="T93" s="112"/>
      <c r="X93" s="333"/>
      <c r="Y93" s="5"/>
      <c r="AJ93" s="333"/>
      <c r="AK93" s="5"/>
    </row>
    <row r="94" ht="15.75" customHeight="1">
      <c r="B94" s="317" t="s">
        <v>26</v>
      </c>
      <c r="C94" s="318">
        <v>45595.0</v>
      </c>
      <c r="D94" s="319">
        <v>45595.0</v>
      </c>
      <c r="E94" s="320">
        <v>500.0</v>
      </c>
      <c r="F94" s="321"/>
      <c r="G94" s="322"/>
      <c r="H94" s="323"/>
      <c r="K94" s="44"/>
      <c r="L94" s="156"/>
      <c r="M94" s="292"/>
      <c r="N94" s="297"/>
      <c r="R94" s="333"/>
      <c r="S94" s="5"/>
      <c r="T94" s="112"/>
      <c r="X94" s="333"/>
      <c r="Y94" s="5"/>
      <c r="AJ94" s="333"/>
      <c r="AK94" s="5"/>
    </row>
    <row r="95" ht="15.75" customHeight="1">
      <c r="B95" s="317" t="s">
        <v>61</v>
      </c>
      <c r="C95" s="318">
        <v>45596.0</v>
      </c>
      <c r="D95" s="319">
        <v>45596.0</v>
      </c>
      <c r="E95" s="320">
        <v>500.0</v>
      </c>
      <c r="F95" s="321"/>
      <c r="G95" s="322"/>
      <c r="H95" s="323"/>
      <c r="K95" s="44"/>
      <c r="L95" s="156"/>
      <c r="M95" s="292"/>
      <c r="N95" s="297"/>
      <c r="R95" s="333"/>
      <c r="S95" s="5"/>
      <c r="T95" s="112"/>
      <c r="X95" s="333"/>
      <c r="Y95" s="5"/>
      <c r="AJ95" s="333"/>
      <c r="AK95" s="5"/>
    </row>
    <row r="96" ht="15.75" customHeight="1">
      <c r="B96" s="317" t="s">
        <v>137</v>
      </c>
      <c r="C96" s="318">
        <v>45597.0</v>
      </c>
      <c r="D96" s="319">
        <v>45597.0</v>
      </c>
      <c r="E96" s="320">
        <v>500.0</v>
      </c>
      <c r="F96" s="321"/>
      <c r="G96" s="322"/>
      <c r="H96" s="323"/>
      <c r="K96" s="44"/>
      <c r="L96" s="156"/>
      <c r="M96" s="292"/>
      <c r="N96" s="297"/>
      <c r="R96" s="333"/>
      <c r="S96" s="5"/>
      <c r="T96" s="112"/>
      <c r="X96" s="333"/>
      <c r="Y96" s="5"/>
      <c r="AJ96" s="333"/>
      <c r="AK96" s="5"/>
    </row>
    <row r="97" ht="15.75" customHeight="1">
      <c r="B97" s="317" t="s">
        <v>271</v>
      </c>
      <c r="C97" s="318">
        <v>45597.0</v>
      </c>
      <c r="D97" s="319">
        <v>45597.0</v>
      </c>
      <c r="E97" s="320">
        <v>500.0</v>
      </c>
      <c r="F97" s="321"/>
      <c r="G97" s="322"/>
      <c r="H97" s="323"/>
      <c r="K97" s="44"/>
      <c r="L97" s="156"/>
      <c r="M97" s="292"/>
      <c r="N97" s="297"/>
      <c r="R97" s="333"/>
      <c r="S97" s="5"/>
      <c r="T97" s="112"/>
      <c r="X97" s="333"/>
      <c r="Y97" s="5"/>
      <c r="AJ97" s="333"/>
      <c r="AK97" s="5"/>
    </row>
    <row r="98" ht="15.75" customHeight="1">
      <c r="B98" s="317"/>
      <c r="C98" s="318"/>
      <c r="D98" s="319"/>
      <c r="E98" s="320"/>
      <c r="F98" s="321"/>
      <c r="G98" s="322"/>
      <c r="H98" s="323"/>
      <c r="K98" s="44"/>
      <c r="L98" s="156"/>
      <c r="M98" s="292"/>
      <c r="N98" s="297"/>
      <c r="R98" s="333"/>
      <c r="S98" s="5"/>
      <c r="T98" s="112"/>
      <c r="X98" s="333"/>
      <c r="Y98" s="5"/>
      <c r="AJ98" s="333"/>
      <c r="AK98" s="5"/>
    </row>
    <row r="99" ht="15.75" customHeight="1">
      <c r="B99" s="317"/>
      <c r="C99" s="318"/>
      <c r="D99" s="319"/>
      <c r="E99" s="320"/>
      <c r="F99" s="321"/>
      <c r="G99" s="322"/>
      <c r="H99" s="323"/>
      <c r="K99" s="44"/>
      <c r="L99" s="156"/>
      <c r="M99" s="292"/>
      <c r="N99" s="297"/>
      <c r="R99" s="333"/>
      <c r="S99" s="5"/>
      <c r="T99" s="112"/>
      <c r="X99" s="333"/>
      <c r="Y99" s="5"/>
      <c r="AJ99" s="333"/>
      <c r="AK99" s="5"/>
    </row>
    <row r="100" ht="15.75" customHeight="1">
      <c r="B100" s="317"/>
      <c r="C100" s="318"/>
      <c r="D100" s="319"/>
      <c r="E100" s="320"/>
      <c r="F100" s="321"/>
      <c r="G100" s="322" t="s">
        <v>403</v>
      </c>
      <c r="H100" s="323"/>
      <c r="K100" s="44"/>
      <c r="L100" s="156"/>
      <c r="M100" s="292"/>
      <c r="N100" s="297"/>
      <c r="R100" s="333"/>
      <c r="S100" s="5"/>
      <c r="T100" s="112"/>
      <c r="X100" s="333"/>
      <c r="Y100" s="5"/>
      <c r="AJ100" s="333"/>
      <c r="AK100" s="5"/>
    </row>
    <row r="101" ht="15.75" customHeight="1">
      <c r="B101" s="253" t="s">
        <v>46</v>
      </c>
      <c r="C101" s="117"/>
      <c r="D101" s="118"/>
      <c r="E101" s="263">
        <f>SUM(E56:E100)+SUM(G56:G100)</f>
        <v>20850</v>
      </c>
      <c r="F101" s="263"/>
      <c r="G101" s="263">
        <f>SUM(G56:G100)</f>
        <v>50</v>
      </c>
      <c r="H101" s="264"/>
      <c r="K101" s="44"/>
      <c r="L101" s="156"/>
      <c r="M101" s="292"/>
      <c r="N101" s="297"/>
      <c r="R101" s="333"/>
      <c r="S101" s="5"/>
      <c r="T101" s="112"/>
      <c r="X101" s="333"/>
      <c r="Y101" s="5"/>
      <c r="AJ101" s="333"/>
      <c r="AK101" s="5"/>
    </row>
    <row r="102" ht="15.75" customHeight="1">
      <c r="B102" s="253" t="s">
        <v>140</v>
      </c>
      <c r="C102" s="117"/>
      <c r="D102" s="118"/>
      <c r="E102" s="263">
        <f>E101-SUM(E56:E75)-M113</f>
        <v>5475</v>
      </c>
      <c r="F102" s="263"/>
      <c r="G102" s="263"/>
      <c r="H102" s="264"/>
      <c r="K102" s="44"/>
      <c r="L102" s="156"/>
      <c r="M102" s="292"/>
      <c r="N102" s="297"/>
      <c r="R102" s="333"/>
      <c r="S102" s="5"/>
      <c r="T102" s="112"/>
      <c r="X102" s="333"/>
      <c r="Y102" s="5"/>
      <c r="AJ102" s="333"/>
      <c r="AK102" s="5"/>
    </row>
    <row r="103" ht="15.75" customHeight="1">
      <c r="B103" s="260" t="s">
        <v>142</v>
      </c>
      <c r="C103" s="117"/>
      <c r="D103" s="118"/>
      <c r="E103" s="261"/>
      <c r="F103" s="262"/>
      <c r="G103" s="263"/>
      <c r="H103" s="264"/>
      <c r="K103" s="44"/>
      <c r="L103" s="156"/>
      <c r="M103" s="292"/>
      <c r="N103" s="297"/>
      <c r="R103" s="333"/>
      <c r="S103" s="5"/>
      <c r="T103" s="112"/>
      <c r="X103" s="333"/>
      <c r="Y103" s="5"/>
      <c r="AD103" s="333"/>
      <c r="AE103" s="5"/>
      <c r="AJ103" s="333"/>
      <c r="AK103" s="5"/>
      <c r="AP103" s="333"/>
      <c r="AQ103" s="5"/>
    </row>
    <row r="104" ht="15.75" customHeight="1">
      <c r="B104" s="260" t="s">
        <v>145</v>
      </c>
      <c r="C104" s="117"/>
      <c r="D104" s="118"/>
      <c r="E104" s="263">
        <f>SUM(E56:E75)</f>
        <v>10375</v>
      </c>
      <c r="F104" s="266"/>
      <c r="G104" s="263"/>
      <c r="H104" s="264"/>
      <c r="K104" s="44"/>
      <c r="L104" s="156"/>
      <c r="M104" s="292"/>
      <c r="N104" s="297"/>
      <c r="R104" s="333"/>
      <c r="S104" s="5"/>
      <c r="T104" s="112"/>
      <c r="X104" s="333"/>
      <c r="Y104" s="5"/>
      <c r="AD104" s="333"/>
      <c r="AE104" s="5"/>
      <c r="AJ104" s="333"/>
      <c r="AK104" s="5"/>
      <c r="AP104" s="333"/>
      <c r="AQ104" s="5"/>
    </row>
    <row r="105" ht="15.75" customHeight="1">
      <c r="B105" s="269" t="s">
        <v>146</v>
      </c>
      <c r="C105" s="117"/>
      <c r="D105" s="118"/>
      <c r="E105" s="270"/>
      <c r="F105" s="263"/>
      <c r="G105" s="263"/>
      <c r="H105" s="264"/>
      <c r="K105" s="44"/>
      <c r="L105" s="156"/>
      <c r="M105" s="292"/>
      <c r="N105" s="297"/>
      <c r="R105" s="333"/>
      <c r="S105" s="5"/>
      <c r="T105" s="112"/>
      <c r="X105" s="333"/>
      <c r="Y105" s="5"/>
      <c r="AJ105" s="333"/>
      <c r="AK105" s="5"/>
    </row>
    <row r="106" ht="15.75" customHeight="1">
      <c r="C106" s="4" t="str">
        <f t="shared" ref="C106:F106" si="153">IF($P17="Transport",Q17,"")</f>
        <v/>
      </c>
      <c r="D106" s="333" t="str">
        <f t="shared" si="153"/>
        <v/>
      </c>
      <c r="E106" s="5" t="str">
        <f t="shared" si="153"/>
        <v/>
      </c>
      <c r="F106" s="7" t="str">
        <f t="shared" si="153"/>
        <v/>
      </c>
      <c r="G106" s="5"/>
      <c r="H106" s="112"/>
      <c r="K106" s="44"/>
      <c r="L106" s="156"/>
      <c r="M106" s="292"/>
      <c r="N106" s="297"/>
      <c r="R106" s="333"/>
      <c r="S106" s="5"/>
      <c r="T106" s="112"/>
      <c r="X106" s="333"/>
      <c r="Y106" s="5"/>
      <c r="AJ106" s="333"/>
      <c r="AK106" s="5"/>
    </row>
    <row r="107" ht="15.75" customHeight="1">
      <c r="C107" s="4" t="str">
        <f t="shared" ref="C107:F107" si="154">IF($P18="Transport",Q18,"")</f>
        <v/>
      </c>
      <c r="D107" s="333" t="str">
        <f t="shared" si="154"/>
        <v/>
      </c>
      <c r="E107" s="5" t="str">
        <f t="shared" si="154"/>
        <v/>
      </c>
      <c r="F107" s="7" t="str">
        <f t="shared" si="154"/>
        <v/>
      </c>
      <c r="G107" s="5"/>
      <c r="H107" s="112"/>
      <c r="K107" s="44"/>
      <c r="L107" s="156"/>
      <c r="M107" s="292"/>
      <c r="N107" s="297"/>
      <c r="R107" s="333"/>
      <c r="S107" s="5"/>
      <c r="T107" s="112"/>
      <c r="X107" s="333"/>
      <c r="Y107" s="5"/>
      <c r="AJ107" s="333"/>
      <c r="AK107" s="5"/>
    </row>
    <row r="108" ht="15.75" customHeight="1">
      <c r="C108" s="4" t="str">
        <f t="shared" ref="C108:D108" si="155">IF($P19="Transport",Q19,"")</f>
        <v/>
      </c>
      <c r="D108" s="333" t="str">
        <f t="shared" si="155"/>
        <v/>
      </c>
      <c r="E108" s="5"/>
      <c r="F108" s="7" t="str">
        <f>IF($P19="Transport",T19,"")</f>
        <v/>
      </c>
      <c r="G108" s="5"/>
      <c r="H108" s="112"/>
      <c r="K108" s="44"/>
      <c r="L108" s="156"/>
      <c r="M108" s="292"/>
      <c r="N108" s="297"/>
      <c r="R108" s="333"/>
      <c r="S108" s="5"/>
      <c r="T108" s="112"/>
      <c r="X108" s="333"/>
      <c r="Y108" s="5"/>
      <c r="AJ108" s="333"/>
      <c r="AK108" s="5"/>
    </row>
    <row r="109" ht="15.75" customHeight="1">
      <c r="C109" s="4" t="str">
        <f t="shared" ref="C109:F109" si="156">IF($P20="Transport",Q20,"")</f>
        <v/>
      </c>
      <c r="D109" s="333" t="str">
        <f t="shared" si="156"/>
        <v/>
      </c>
      <c r="E109" s="5" t="str">
        <f t="shared" si="156"/>
        <v/>
      </c>
      <c r="F109" s="7" t="str">
        <f t="shared" si="156"/>
        <v/>
      </c>
      <c r="G109" s="5"/>
      <c r="H109" s="112"/>
      <c r="K109" s="324"/>
      <c r="L109" s="318"/>
      <c r="M109" s="325"/>
      <c r="N109" s="323"/>
      <c r="R109" s="333"/>
      <c r="S109" s="5"/>
      <c r="T109" s="112"/>
      <c r="X109" s="333"/>
      <c r="Y109" s="5"/>
      <c r="AJ109" s="333"/>
      <c r="AK109" s="5"/>
    </row>
    <row r="110" ht="15.75" customHeight="1">
      <c r="C110" s="4"/>
      <c r="H110" s="112"/>
      <c r="K110" s="326" t="s">
        <v>46</v>
      </c>
      <c r="L110" s="251"/>
      <c r="M110" s="327">
        <f>SUM(M66:M109)</f>
        <v>11000</v>
      </c>
      <c r="N110" s="264"/>
      <c r="R110" s="333"/>
      <c r="S110" s="5"/>
      <c r="T110" s="112"/>
      <c r="X110" s="333"/>
      <c r="Y110" s="5"/>
      <c r="AD110" s="333"/>
      <c r="AE110" s="5"/>
      <c r="AJ110" s="333"/>
      <c r="AK110" s="5"/>
      <c r="AP110" s="333"/>
      <c r="AQ110" s="5"/>
    </row>
    <row r="111" ht="15.75" customHeight="1">
      <c r="C111" s="374" t="str">
        <f>IF($P22="Transport",Q22,"")</f>
        <v/>
      </c>
      <c r="G111" s="5"/>
      <c r="H111" s="112"/>
      <c r="K111" s="255"/>
      <c r="L111" s="256"/>
      <c r="M111" s="257"/>
      <c r="N111" s="264"/>
      <c r="R111" s="333"/>
      <c r="S111" s="5"/>
      <c r="T111" s="112"/>
      <c r="X111" s="333"/>
      <c r="Y111" s="5"/>
      <c r="AJ111" s="333"/>
      <c r="AK111" s="5"/>
    </row>
    <row r="112" ht="15.75" customHeight="1">
      <c r="C112" s="5">
        <v>264.0</v>
      </c>
      <c r="D112" s="5">
        <v>1560.0</v>
      </c>
      <c r="E112" s="5">
        <v>950.0</v>
      </c>
      <c r="F112" s="5">
        <v>2700.0</v>
      </c>
      <c r="G112" s="5"/>
      <c r="H112" s="112"/>
      <c r="K112" s="365" t="s">
        <v>404</v>
      </c>
      <c r="L112" s="16"/>
      <c r="M112" s="375">
        <f>SUM(M66:M70)</f>
        <v>6000</v>
      </c>
      <c r="N112" s="112"/>
      <c r="R112" s="333"/>
      <c r="S112" s="5"/>
      <c r="T112" s="112"/>
      <c r="X112" s="333"/>
      <c r="Y112" s="5"/>
      <c r="AJ112" s="333"/>
      <c r="AK112" s="5"/>
    </row>
    <row r="113" ht="15.75" customHeight="1">
      <c r="C113" s="4"/>
      <c r="F113" s="7" t="s">
        <v>405</v>
      </c>
      <c r="H113" s="112"/>
      <c r="K113" s="329" t="s">
        <v>141</v>
      </c>
      <c r="L113" s="16"/>
      <c r="M113" s="330">
        <f>SUM(M71:M77)</f>
        <v>5000</v>
      </c>
      <c r="N113" s="112"/>
      <c r="R113" s="333"/>
      <c r="S113" s="5"/>
      <c r="T113" s="112"/>
      <c r="X113" s="333"/>
      <c r="Y113" s="5"/>
      <c r="AD113" s="333"/>
      <c r="AE113" s="5"/>
      <c r="AJ113" s="333"/>
      <c r="AK113" s="5"/>
      <c r="AP113" s="333"/>
      <c r="AQ113" s="5"/>
    </row>
    <row r="114" ht="15.75" customHeight="1">
      <c r="C114" s="4"/>
      <c r="D114" s="333"/>
      <c r="E114" s="5"/>
      <c r="G114" s="5"/>
      <c r="H114" s="112"/>
      <c r="L114" s="4" t="s">
        <v>143</v>
      </c>
      <c r="M114" s="5">
        <f>6000-SUM(M70:M78)</f>
        <v>0</v>
      </c>
      <c r="N114" s="112"/>
      <c r="R114" s="333"/>
      <c r="S114" s="5"/>
      <c r="T114" s="112"/>
      <c r="X114" s="333"/>
      <c r="Y114" s="5"/>
      <c r="AJ114" s="333"/>
      <c r="AK114" s="5"/>
    </row>
    <row r="115" ht="15.75" customHeight="1">
      <c r="C115" s="4"/>
      <c r="E115" s="5"/>
      <c r="H115" s="112"/>
      <c r="L115" s="4"/>
      <c r="M115" s="5"/>
      <c r="N115" s="112"/>
      <c r="R115" s="333"/>
      <c r="S115" s="5"/>
      <c r="T115" s="112"/>
      <c r="X115" s="333"/>
      <c r="Y115" s="5"/>
      <c r="AD115" s="333"/>
      <c r="AE115" s="5"/>
      <c r="AJ115" s="333"/>
      <c r="AK115" s="5"/>
      <c r="AP115" s="333"/>
      <c r="AQ115" s="5"/>
    </row>
    <row r="116" ht="15.75" customHeight="1">
      <c r="C116" s="4"/>
      <c r="D116" s="5">
        <f>SUM(C112:F112)</f>
        <v>5474</v>
      </c>
      <c r="E116" s="5"/>
      <c r="F116" s="5"/>
      <c r="G116" s="5"/>
      <c r="H116" s="112"/>
      <c r="L116" s="4"/>
      <c r="M116" s="5"/>
      <c r="N116" s="112"/>
      <c r="R116" s="333"/>
      <c r="S116" s="5"/>
      <c r="T116" s="112"/>
      <c r="X116" s="333"/>
      <c r="Y116" s="5"/>
      <c r="AJ116" s="333"/>
      <c r="AK116" s="5"/>
    </row>
    <row r="117" ht="15.75" customHeight="1">
      <c r="C117" s="4"/>
      <c r="D117" s="333"/>
      <c r="E117" s="333"/>
      <c r="G117" s="5"/>
      <c r="H117" s="112"/>
      <c r="L117" s="4"/>
      <c r="M117" s="5"/>
      <c r="N117" s="112"/>
      <c r="R117" s="333"/>
      <c r="S117" s="5"/>
      <c r="T117" s="112"/>
      <c r="X117" s="333"/>
      <c r="Y117" s="5"/>
      <c r="AJ117" s="333"/>
      <c r="AK117" s="5"/>
    </row>
    <row r="118" ht="15.75" customHeight="1">
      <c r="C118" s="4"/>
      <c r="D118" s="5"/>
      <c r="E118" s="333"/>
      <c r="G118" s="5"/>
      <c r="H118" s="112"/>
      <c r="L118" s="4"/>
      <c r="M118" s="5"/>
      <c r="N118" s="112"/>
      <c r="R118" s="333"/>
      <c r="S118" s="5"/>
      <c r="T118" s="112"/>
      <c r="X118" s="333"/>
      <c r="Y118" s="5"/>
      <c r="AJ118" s="333"/>
      <c r="AK118" s="5"/>
    </row>
    <row r="119" ht="15.75" customHeight="1">
      <c r="B119" s="272" t="s">
        <v>2</v>
      </c>
      <c r="C119" s="117"/>
      <c r="D119" s="117"/>
      <c r="E119" s="117"/>
      <c r="F119" s="117"/>
      <c r="G119" s="117"/>
      <c r="H119" s="118"/>
      <c r="L119" s="4"/>
      <c r="M119" s="5"/>
      <c r="N119" s="375">
        <f>E142-SUM(M66:M70)</f>
        <v>4375</v>
      </c>
      <c r="R119" s="333"/>
      <c r="S119" s="5"/>
      <c r="T119" s="112"/>
      <c r="X119" s="333"/>
      <c r="Y119" s="5"/>
      <c r="AJ119" s="333"/>
      <c r="AK119" s="5"/>
    </row>
    <row r="120" ht="15.75" customHeight="1">
      <c r="B120" s="274" t="s">
        <v>8</v>
      </c>
      <c r="C120" s="275" t="s">
        <v>9</v>
      </c>
      <c r="D120" s="276" t="s">
        <v>10</v>
      </c>
      <c r="E120" s="277" t="s">
        <v>11</v>
      </c>
      <c r="F120" s="278" t="s">
        <v>12</v>
      </c>
      <c r="G120" s="279" t="s">
        <v>13</v>
      </c>
      <c r="H120" s="280" t="s">
        <v>14</v>
      </c>
      <c r="L120" s="4"/>
      <c r="M120" s="5"/>
      <c r="N120" s="112"/>
      <c r="R120" s="333"/>
      <c r="S120" s="5"/>
      <c r="T120" s="112"/>
      <c r="X120" s="333"/>
      <c r="Y120" s="5"/>
      <c r="AJ120" s="333"/>
      <c r="AK120" s="5"/>
    </row>
    <row r="121" ht="15.75" customHeight="1">
      <c r="B121" s="285" t="s">
        <v>372</v>
      </c>
      <c r="C121" s="286">
        <v>45553.0</v>
      </c>
      <c r="D121" s="287">
        <v>45553.0</v>
      </c>
      <c r="E121" s="288">
        <v>100.0</v>
      </c>
      <c r="F121" s="376"/>
      <c r="G121" s="290"/>
      <c r="H121" s="291"/>
      <c r="L121" s="4"/>
      <c r="M121" s="5"/>
      <c r="N121" s="112"/>
      <c r="R121" s="333"/>
      <c r="S121" s="5"/>
      <c r="T121" s="112"/>
      <c r="X121" s="333"/>
      <c r="Y121" s="5"/>
      <c r="AJ121" s="333"/>
      <c r="AK121" s="5"/>
    </row>
    <row r="122" ht="15.75" customHeight="1">
      <c r="B122" s="293" t="s">
        <v>26</v>
      </c>
      <c r="C122" s="160">
        <v>45553.0</v>
      </c>
      <c r="D122" s="294">
        <v>45553.0</v>
      </c>
      <c r="E122" s="295">
        <v>500.0</v>
      </c>
      <c r="F122" s="310"/>
      <c r="G122" s="296"/>
      <c r="H122" s="297"/>
      <c r="L122" s="4"/>
      <c r="M122" s="5"/>
      <c r="N122" s="112"/>
      <c r="R122" s="333"/>
      <c r="S122" s="5"/>
      <c r="T122" s="112"/>
      <c r="X122" s="333"/>
      <c r="Y122" s="5"/>
      <c r="AJ122" s="333"/>
      <c r="AK122" s="5"/>
    </row>
    <row r="123" ht="15.75" customHeight="1">
      <c r="B123" s="293" t="s">
        <v>365</v>
      </c>
      <c r="C123" s="160">
        <v>45554.0</v>
      </c>
      <c r="D123" s="294">
        <v>45554.0</v>
      </c>
      <c r="E123" s="295">
        <v>375.0</v>
      </c>
      <c r="F123" s="310"/>
      <c r="G123" s="296"/>
      <c r="H123" s="297" t="s">
        <v>373</v>
      </c>
      <c r="L123" s="4"/>
      <c r="M123" s="5"/>
      <c r="N123" s="112"/>
      <c r="R123" s="333"/>
      <c r="S123" s="5"/>
      <c r="T123" s="112"/>
      <c r="X123" s="333"/>
      <c r="Y123" s="5"/>
      <c r="AJ123" s="333"/>
      <c r="AK123" s="5"/>
    </row>
    <row r="124" ht="15.75" customHeight="1">
      <c r="B124" s="293" t="s">
        <v>137</v>
      </c>
      <c r="C124" s="160">
        <v>45555.0</v>
      </c>
      <c r="D124" s="294">
        <v>45555.0</v>
      </c>
      <c r="E124" s="295">
        <v>500.0</v>
      </c>
      <c r="F124" s="310"/>
      <c r="G124" s="296"/>
      <c r="H124" s="297"/>
      <c r="L124" s="4"/>
      <c r="M124" s="5"/>
      <c r="N124" s="112"/>
      <c r="R124" s="333"/>
      <c r="S124" s="5"/>
      <c r="T124" s="112"/>
      <c r="X124" s="333"/>
      <c r="Y124" s="5"/>
      <c r="AJ124" s="333"/>
      <c r="AK124" s="5"/>
    </row>
    <row r="125" ht="15.75" customHeight="1">
      <c r="B125" s="293" t="s">
        <v>271</v>
      </c>
      <c r="C125" s="160">
        <v>45555.0</v>
      </c>
      <c r="D125" s="294">
        <v>45555.0</v>
      </c>
      <c r="E125" s="295">
        <v>500.0</v>
      </c>
      <c r="F125" s="310"/>
      <c r="G125" s="296"/>
      <c r="H125" s="297"/>
      <c r="L125" s="4"/>
      <c r="M125" s="5"/>
      <c r="N125" s="112"/>
      <c r="R125" s="333"/>
      <c r="S125" s="5"/>
      <c r="T125" s="112"/>
      <c r="X125" s="333"/>
      <c r="Y125" s="5"/>
      <c r="AJ125" s="333"/>
      <c r="AK125" s="5"/>
    </row>
    <row r="126" ht="15.75" customHeight="1">
      <c r="B126" s="293" t="s">
        <v>32</v>
      </c>
      <c r="C126" s="160">
        <v>45556.0</v>
      </c>
      <c r="D126" s="294">
        <v>45556.0</v>
      </c>
      <c r="E126" s="295">
        <v>300.0</v>
      </c>
      <c r="F126" s="310"/>
      <c r="G126" s="296"/>
      <c r="H126" s="297"/>
      <c r="L126" s="4"/>
      <c r="M126" s="5"/>
      <c r="N126" s="112"/>
      <c r="R126" s="333"/>
      <c r="S126" s="5"/>
      <c r="T126" s="112"/>
      <c r="X126" s="333"/>
      <c r="Y126" s="5"/>
      <c r="AJ126" s="333"/>
      <c r="AK126" s="5"/>
    </row>
    <row r="127" ht="15.75" customHeight="1">
      <c r="B127" s="293" t="s">
        <v>133</v>
      </c>
      <c r="C127" s="160">
        <v>45558.0</v>
      </c>
      <c r="D127" s="294">
        <v>45558.0</v>
      </c>
      <c r="E127" s="295">
        <v>500.0</v>
      </c>
      <c r="F127" s="310"/>
      <c r="G127" s="296"/>
      <c r="H127" s="297"/>
      <c r="L127" s="4"/>
      <c r="M127" s="5"/>
      <c r="N127" s="112"/>
      <c r="R127" s="333"/>
      <c r="S127" s="5"/>
      <c r="T127" s="112"/>
      <c r="X127" s="333"/>
      <c r="Y127" s="5"/>
      <c r="AJ127" s="333"/>
      <c r="AK127" s="5"/>
    </row>
    <row r="128" ht="15.75" customHeight="1">
      <c r="B128" s="293" t="s">
        <v>300</v>
      </c>
      <c r="C128" s="160">
        <v>45559.0</v>
      </c>
      <c r="D128" s="294">
        <v>45559.0</v>
      </c>
      <c r="E128" s="295">
        <v>500.0</v>
      </c>
      <c r="F128" s="310"/>
      <c r="G128" s="296"/>
      <c r="H128" s="297"/>
      <c r="L128" s="4"/>
      <c r="M128" s="5"/>
      <c r="N128" s="112"/>
      <c r="R128" s="333"/>
      <c r="S128" s="5"/>
      <c r="T128" s="112"/>
      <c r="X128" s="333"/>
      <c r="Y128" s="5"/>
      <c r="AJ128" s="333"/>
      <c r="AK128" s="5"/>
    </row>
    <row r="129" ht="15.75" customHeight="1">
      <c r="B129" s="293" t="s">
        <v>26</v>
      </c>
      <c r="C129" s="160">
        <v>45560.0</v>
      </c>
      <c r="D129" s="294">
        <v>45560.0</v>
      </c>
      <c r="E129" s="295">
        <v>500.0</v>
      </c>
      <c r="F129" s="310"/>
      <c r="G129" s="296"/>
      <c r="H129" s="297"/>
      <c r="L129" s="4"/>
      <c r="M129" s="5"/>
      <c r="N129" s="112"/>
      <c r="R129" s="333"/>
      <c r="S129" s="5"/>
      <c r="T129" s="112"/>
      <c r="X129" s="333"/>
      <c r="Y129" s="5"/>
      <c r="AJ129" s="333"/>
      <c r="AK129" s="5"/>
    </row>
    <row r="130" ht="15.75" customHeight="1">
      <c r="B130" s="293" t="s">
        <v>61</v>
      </c>
      <c r="C130" s="160">
        <v>45560.0</v>
      </c>
      <c r="D130" s="294">
        <v>45560.0</v>
      </c>
      <c r="E130" s="295">
        <v>500.0</v>
      </c>
      <c r="F130" s="310"/>
      <c r="G130" s="296"/>
      <c r="H130" s="297"/>
      <c r="L130" s="4"/>
      <c r="M130" s="5"/>
      <c r="N130" s="112"/>
      <c r="R130" s="333"/>
      <c r="S130" s="5"/>
      <c r="T130" s="112"/>
      <c r="X130" s="333"/>
      <c r="Y130" s="5"/>
      <c r="AJ130" s="333"/>
      <c r="AK130" s="5"/>
    </row>
    <row r="131" ht="15.75" customHeight="1">
      <c r="B131" s="293" t="s">
        <v>137</v>
      </c>
      <c r="C131" s="160">
        <v>45562.0</v>
      </c>
      <c r="D131" s="294">
        <v>45562.0</v>
      </c>
      <c r="E131" s="295">
        <v>500.0</v>
      </c>
      <c r="F131" s="310"/>
      <c r="G131" s="296"/>
      <c r="H131" s="297"/>
      <c r="L131" s="4"/>
      <c r="M131" s="5"/>
      <c r="N131" s="112"/>
      <c r="R131" s="333"/>
      <c r="S131" s="5"/>
      <c r="T131" s="112"/>
      <c r="X131" s="333"/>
      <c r="Y131" s="5"/>
      <c r="AJ131" s="333"/>
      <c r="AK131" s="5"/>
    </row>
    <row r="132" ht="15.75" customHeight="1">
      <c r="B132" s="293" t="s">
        <v>32</v>
      </c>
      <c r="C132" s="160">
        <v>45563.0</v>
      </c>
      <c r="D132" s="294">
        <v>45563.0</v>
      </c>
      <c r="E132" s="295">
        <v>300.0</v>
      </c>
      <c r="F132" s="310"/>
      <c r="G132" s="296"/>
      <c r="H132" s="297"/>
      <c r="L132" s="4"/>
      <c r="M132" s="5"/>
      <c r="N132" s="112"/>
      <c r="R132" s="333"/>
      <c r="S132" s="5"/>
      <c r="T132" s="112"/>
      <c r="X132" s="333"/>
      <c r="Y132" s="5"/>
      <c r="AJ132" s="333"/>
      <c r="AK132" s="5"/>
    </row>
    <row r="133" ht="15.75" customHeight="1">
      <c r="B133" s="293" t="s">
        <v>378</v>
      </c>
      <c r="C133" s="160">
        <v>45564.0</v>
      </c>
      <c r="D133" s="294">
        <v>45564.0</v>
      </c>
      <c r="E133" s="295">
        <v>500.0</v>
      </c>
      <c r="F133" s="310"/>
      <c r="G133" s="296"/>
      <c r="H133" s="297"/>
      <c r="L133" s="4"/>
      <c r="M133" s="5"/>
      <c r="N133" s="112"/>
      <c r="R133" s="333"/>
      <c r="S133" s="5"/>
      <c r="T133" s="112"/>
      <c r="X133" s="333"/>
      <c r="Y133" s="5"/>
      <c r="AD133" s="333"/>
      <c r="AE133" s="5"/>
      <c r="AJ133" s="333"/>
      <c r="AK133" s="5"/>
      <c r="AP133" s="333"/>
      <c r="AQ133" s="5"/>
    </row>
    <row r="134" ht="15.75" customHeight="1">
      <c r="B134" s="293" t="s">
        <v>133</v>
      </c>
      <c r="C134" s="160">
        <v>45565.0</v>
      </c>
      <c r="D134" s="294">
        <v>45565.0</v>
      </c>
      <c r="E134" s="295">
        <v>500.0</v>
      </c>
      <c r="F134" s="310"/>
      <c r="G134" s="296"/>
      <c r="H134" s="297"/>
      <c r="L134" s="4"/>
      <c r="M134" s="5"/>
      <c r="N134" s="112"/>
      <c r="R134" s="333"/>
      <c r="S134" s="5"/>
      <c r="T134" s="112"/>
      <c r="X134" s="333"/>
      <c r="Y134" s="5"/>
      <c r="AD134" s="333"/>
      <c r="AE134" s="5"/>
      <c r="AJ134" s="333"/>
      <c r="AK134" s="5"/>
      <c r="AP134" s="333"/>
      <c r="AQ134" s="5"/>
    </row>
    <row r="135" ht="15.75" customHeight="1">
      <c r="B135" s="293" t="s">
        <v>383</v>
      </c>
      <c r="C135" s="160">
        <v>45567.0</v>
      </c>
      <c r="D135" s="294">
        <v>45567.0</v>
      </c>
      <c r="E135" s="295">
        <v>2200.0</v>
      </c>
      <c r="F135" s="310"/>
      <c r="G135" s="296"/>
      <c r="H135" s="297"/>
      <c r="L135" s="4"/>
      <c r="M135" s="5"/>
      <c r="N135" s="112"/>
      <c r="R135" s="333"/>
      <c r="S135" s="5"/>
      <c r="T135" s="112"/>
      <c r="X135" s="333"/>
      <c r="Y135" s="5"/>
      <c r="AD135" s="333"/>
      <c r="AE135" s="5"/>
      <c r="AJ135" s="333"/>
      <c r="AK135" s="5"/>
      <c r="AP135" s="333"/>
      <c r="AQ135" s="5"/>
    </row>
    <row r="136" ht="15.75" customHeight="1">
      <c r="B136" s="293" t="s">
        <v>386</v>
      </c>
      <c r="C136" s="160">
        <v>45567.0</v>
      </c>
      <c r="D136" s="294">
        <v>45567.0</v>
      </c>
      <c r="E136" s="295">
        <v>100.0</v>
      </c>
      <c r="F136" s="310"/>
      <c r="G136" s="296"/>
      <c r="H136" s="297"/>
      <c r="L136" s="4"/>
      <c r="M136" s="5"/>
      <c r="N136" s="112"/>
      <c r="R136" s="333"/>
      <c r="S136" s="5"/>
      <c r="T136" s="112"/>
      <c r="X136" s="333"/>
      <c r="Y136" s="5"/>
      <c r="AD136" s="333"/>
      <c r="AE136" s="5"/>
      <c r="AJ136" s="333"/>
      <c r="AK136" s="5"/>
      <c r="AP136" s="333"/>
      <c r="AQ136" s="5"/>
    </row>
    <row r="137" ht="15.75" customHeight="1">
      <c r="B137" s="293" t="s">
        <v>26</v>
      </c>
      <c r="C137" s="160">
        <v>45567.0</v>
      </c>
      <c r="D137" s="294">
        <v>45567.0</v>
      </c>
      <c r="E137" s="295">
        <v>500.0</v>
      </c>
      <c r="F137" s="310"/>
      <c r="G137" s="296"/>
      <c r="H137" s="297"/>
      <c r="L137" s="4"/>
      <c r="M137" s="5"/>
      <c r="N137" s="112"/>
      <c r="R137" s="333"/>
      <c r="S137" s="5"/>
      <c r="T137" s="112"/>
      <c r="X137" s="333"/>
      <c r="Y137" s="5"/>
      <c r="AD137" s="333"/>
      <c r="AE137" s="5"/>
      <c r="AJ137" s="333"/>
      <c r="AK137" s="5"/>
      <c r="AP137" s="333"/>
      <c r="AQ137" s="5"/>
    </row>
    <row r="138" ht="15.75" customHeight="1">
      <c r="B138" s="293" t="s">
        <v>365</v>
      </c>
      <c r="C138" s="160">
        <v>45568.0</v>
      </c>
      <c r="D138" s="294">
        <v>45568.0</v>
      </c>
      <c r="E138" s="295">
        <v>500.0</v>
      </c>
      <c r="F138" s="310"/>
      <c r="G138" s="296"/>
      <c r="H138" s="297"/>
      <c r="L138" s="4"/>
      <c r="M138" s="5"/>
      <c r="N138" s="112"/>
      <c r="R138" s="333"/>
      <c r="S138" s="5"/>
      <c r="T138" s="112"/>
      <c r="X138" s="333"/>
      <c r="Y138" s="5"/>
      <c r="AD138" s="333"/>
      <c r="AE138" s="5"/>
      <c r="AJ138" s="333"/>
      <c r="AK138" s="5"/>
      <c r="AP138" s="333"/>
      <c r="AQ138" s="5"/>
    </row>
    <row r="139" ht="15.75" customHeight="1">
      <c r="B139" s="293" t="s">
        <v>393</v>
      </c>
      <c r="C139" s="156">
        <v>45568.0</v>
      </c>
      <c r="D139" s="294">
        <v>45568.0</v>
      </c>
      <c r="E139" s="295">
        <v>500.0</v>
      </c>
      <c r="F139" s="310"/>
      <c r="G139" s="296"/>
      <c r="H139" s="297"/>
      <c r="L139" s="4"/>
      <c r="M139" s="5"/>
      <c r="N139" s="112"/>
      <c r="R139" s="333"/>
      <c r="S139" s="5"/>
      <c r="T139" s="112"/>
      <c r="X139" s="333"/>
      <c r="Y139" s="5"/>
      <c r="AD139" s="333"/>
      <c r="AE139" s="5"/>
      <c r="AJ139" s="333"/>
      <c r="AK139" s="5"/>
      <c r="AP139" s="333"/>
      <c r="AQ139" s="5"/>
    </row>
    <row r="140" ht="15.75" customHeight="1">
      <c r="B140" s="293" t="s">
        <v>137</v>
      </c>
      <c r="C140" s="160">
        <v>45569.0</v>
      </c>
      <c r="D140" s="294">
        <v>45569.0</v>
      </c>
      <c r="E140" s="295">
        <v>500.0</v>
      </c>
      <c r="F140" s="310"/>
      <c r="G140" s="296"/>
      <c r="H140" s="297"/>
      <c r="L140" s="4"/>
      <c r="M140" s="5"/>
      <c r="N140" s="112"/>
      <c r="R140" s="333"/>
      <c r="S140" s="5"/>
      <c r="T140" s="112"/>
      <c r="X140" s="333"/>
      <c r="Y140" s="5"/>
      <c r="AD140" s="333"/>
      <c r="AE140" s="5"/>
      <c r="AJ140" s="333"/>
      <c r="AK140" s="5"/>
      <c r="AP140" s="333"/>
      <c r="AQ140" s="5"/>
    </row>
    <row r="141" ht="15.75" customHeight="1">
      <c r="B141" s="293"/>
      <c r="C141" s="160"/>
      <c r="D141" s="294"/>
      <c r="E141" s="295"/>
      <c r="F141" s="310"/>
      <c r="G141" s="296"/>
      <c r="H141" s="297"/>
      <c r="L141" s="4"/>
      <c r="M141" s="5"/>
      <c r="N141" s="112"/>
      <c r="R141" s="333"/>
      <c r="S141" s="5"/>
      <c r="T141" s="112"/>
      <c r="X141" s="333"/>
      <c r="Y141" s="5"/>
      <c r="AD141" s="333"/>
      <c r="AE141" s="5"/>
      <c r="AJ141" s="333"/>
      <c r="AK141" s="5"/>
      <c r="AP141" s="333"/>
      <c r="AQ141" s="5"/>
    </row>
    <row r="142" ht="15.75" customHeight="1">
      <c r="B142" s="253" t="s">
        <v>46</v>
      </c>
      <c r="C142" s="117"/>
      <c r="D142" s="118"/>
      <c r="E142" s="263">
        <f>SUM(E121:E141)</f>
        <v>10375</v>
      </c>
      <c r="F142" s="263"/>
      <c r="G142" s="263"/>
      <c r="H142" s="264"/>
      <c r="L142" s="4"/>
      <c r="M142" s="5"/>
      <c r="N142" s="112"/>
      <c r="R142" s="333"/>
      <c r="S142" s="5"/>
      <c r="T142" s="112"/>
      <c r="X142" s="333"/>
      <c r="Y142" s="5"/>
      <c r="AD142" s="333"/>
      <c r="AE142" s="5"/>
      <c r="AJ142" s="333"/>
      <c r="AK142" s="5"/>
      <c r="AP142" s="333"/>
      <c r="AQ142" s="5"/>
    </row>
    <row r="143" ht="15.75" customHeight="1">
      <c r="B143" s="253" t="s">
        <v>406</v>
      </c>
      <c r="C143" s="117"/>
      <c r="D143" s="118"/>
      <c r="E143" s="263">
        <f>E142-M175</f>
        <v>4375</v>
      </c>
      <c r="F143" s="263"/>
      <c r="G143" s="263"/>
      <c r="H143" s="264"/>
      <c r="L143" s="4"/>
      <c r="M143" s="5"/>
      <c r="N143" s="112"/>
      <c r="R143" s="333"/>
      <c r="S143" s="5"/>
      <c r="T143" s="112"/>
      <c r="X143" s="333"/>
      <c r="Y143" s="5"/>
      <c r="AD143" s="333"/>
      <c r="AE143" s="5"/>
      <c r="AJ143" s="333"/>
      <c r="AK143" s="5"/>
      <c r="AP143" s="333"/>
      <c r="AQ143" s="5"/>
    </row>
    <row r="144" ht="15.75" customHeight="1">
      <c r="L144" s="4"/>
      <c r="M144" s="5"/>
      <c r="N144" s="112"/>
      <c r="R144" s="333"/>
      <c r="S144" s="5"/>
      <c r="T144" s="112"/>
      <c r="X144" s="333"/>
      <c r="Y144" s="5"/>
      <c r="AD144" s="333"/>
      <c r="AE144" s="5"/>
      <c r="AJ144" s="333"/>
      <c r="AK144" s="5"/>
      <c r="AP144" s="333"/>
      <c r="AQ144" s="5"/>
    </row>
    <row r="145" ht="15.75" customHeight="1">
      <c r="L145" s="4"/>
      <c r="M145" s="5"/>
      <c r="N145" s="112"/>
      <c r="R145" s="333"/>
      <c r="S145" s="5"/>
      <c r="T145" s="112"/>
      <c r="X145" s="333"/>
      <c r="Y145" s="5"/>
      <c r="AD145" s="333"/>
      <c r="AE145" s="5"/>
      <c r="AJ145" s="333"/>
      <c r="AK145" s="5"/>
      <c r="AP145" s="333"/>
      <c r="AQ145" s="5"/>
    </row>
    <row r="146" ht="15.75" customHeight="1">
      <c r="L146" s="4"/>
      <c r="M146" s="5"/>
      <c r="N146" s="112"/>
      <c r="R146" s="333"/>
      <c r="S146" s="5"/>
      <c r="T146" s="112"/>
      <c r="X146" s="333"/>
      <c r="Y146" s="5"/>
      <c r="AD146" s="333"/>
      <c r="AE146" s="5"/>
      <c r="AJ146" s="333"/>
      <c r="AK146" s="5"/>
      <c r="AP146" s="333"/>
      <c r="AQ146" s="5"/>
    </row>
    <row r="147" ht="15.75" customHeight="1">
      <c r="L147" s="4"/>
      <c r="M147" s="5"/>
      <c r="N147" s="112"/>
      <c r="R147" s="333"/>
      <c r="S147" s="5"/>
      <c r="T147" s="112"/>
      <c r="X147" s="333"/>
      <c r="Y147" s="5"/>
      <c r="AD147" s="333"/>
      <c r="AE147" s="5"/>
      <c r="AJ147" s="333"/>
      <c r="AK147" s="5"/>
      <c r="AP147" s="333"/>
      <c r="AQ147" s="5"/>
    </row>
    <row r="148" ht="15.75" customHeight="1">
      <c r="L148" s="4"/>
      <c r="M148" s="5"/>
      <c r="N148" s="112"/>
      <c r="R148" s="333"/>
      <c r="S148" s="5"/>
      <c r="T148" s="112"/>
      <c r="X148" s="333"/>
      <c r="Y148" s="5"/>
      <c r="AD148" s="333"/>
      <c r="AE148" s="5"/>
      <c r="AJ148" s="333"/>
      <c r="AK148" s="5"/>
      <c r="AP148" s="333"/>
      <c r="AQ148" s="5"/>
    </row>
    <row r="149" ht="15.75" customHeight="1">
      <c r="L149" s="4"/>
      <c r="M149" s="5"/>
      <c r="N149" s="112"/>
      <c r="R149" s="333"/>
      <c r="S149" s="5"/>
      <c r="T149" s="112"/>
      <c r="X149" s="333"/>
      <c r="Y149" s="5"/>
      <c r="AD149" s="333"/>
      <c r="AE149" s="5"/>
      <c r="AJ149" s="333"/>
      <c r="AK149" s="5"/>
      <c r="AP149" s="333"/>
      <c r="AQ149" s="5"/>
    </row>
    <row r="150" ht="15.75" customHeight="1">
      <c r="L150" s="4"/>
      <c r="M150" s="5"/>
      <c r="N150" s="112"/>
      <c r="R150" s="333"/>
      <c r="S150" s="5"/>
      <c r="T150" s="112"/>
      <c r="X150" s="333"/>
      <c r="Y150" s="5"/>
      <c r="AD150" s="333"/>
      <c r="AE150" s="5"/>
      <c r="AJ150" s="333"/>
      <c r="AK150" s="5"/>
      <c r="AP150" s="333"/>
      <c r="AQ150" s="5"/>
    </row>
    <row r="151" ht="15.75" customHeight="1">
      <c r="L151" s="4"/>
      <c r="M151" s="5"/>
      <c r="N151" s="112"/>
      <c r="R151" s="333"/>
      <c r="S151" s="5"/>
      <c r="T151" s="112"/>
      <c r="X151" s="333"/>
      <c r="Y151" s="5"/>
      <c r="AD151" s="333"/>
      <c r="AE151" s="5"/>
      <c r="AJ151" s="333"/>
      <c r="AK151" s="5"/>
      <c r="AP151" s="333"/>
      <c r="AQ151" s="5"/>
    </row>
    <row r="152" ht="15.75" customHeight="1">
      <c r="L152" s="4"/>
      <c r="M152" s="5"/>
      <c r="N152" s="112"/>
      <c r="R152" s="333"/>
      <c r="S152" s="5"/>
      <c r="T152" s="112"/>
      <c r="X152" s="333"/>
      <c r="Y152" s="5"/>
      <c r="AD152" s="333"/>
      <c r="AE152" s="5"/>
      <c r="AJ152" s="333"/>
      <c r="AK152" s="5"/>
      <c r="AP152" s="333"/>
      <c r="AQ152" s="5"/>
    </row>
    <row r="153" ht="15.75" customHeight="1">
      <c r="L153" s="4"/>
      <c r="M153" s="5"/>
      <c r="N153" s="112"/>
      <c r="R153" s="333"/>
      <c r="S153" s="5"/>
      <c r="T153" s="112"/>
      <c r="X153" s="333"/>
      <c r="Y153" s="5"/>
      <c r="AD153" s="333"/>
      <c r="AE153" s="5"/>
      <c r="AJ153" s="333"/>
      <c r="AK153" s="5"/>
      <c r="AP153" s="333"/>
      <c r="AQ153" s="5"/>
    </row>
    <row r="154" ht="15.75" customHeight="1">
      <c r="L154" s="4"/>
      <c r="M154" s="5"/>
      <c r="N154" s="112"/>
      <c r="R154" s="333"/>
      <c r="S154" s="5"/>
      <c r="T154" s="112"/>
      <c r="X154" s="333"/>
      <c r="Y154" s="5"/>
      <c r="AD154" s="333"/>
      <c r="AE154" s="5"/>
      <c r="AJ154" s="333"/>
      <c r="AK154" s="5"/>
      <c r="AP154" s="333"/>
      <c r="AQ154" s="5"/>
    </row>
    <row r="155" ht="15.75" customHeight="1">
      <c r="L155" s="4"/>
      <c r="M155" s="5"/>
      <c r="N155" s="112"/>
      <c r="R155" s="333"/>
      <c r="S155" s="5"/>
      <c r="T155" s="112"/>
      <c r="X155" s="333"/>
      <c r="Y155" s="5"/>
      <c r="AD155" s="333"/>
      <c r="AE155" s="5"/>
      <c r="AJ155" s="333"/>
      <c r="AK155" s="5"/>
      <c r="AP155" s="333"/>
      <c r="AQ155" s="5"/>
    </row>
    <row r="156" ht="15.75" customHeight="1">
      <c r="L156" s="4"/>
      <c r="M156" s="5"/>
      <c r="N156" s="112"/>
      <c r="R156" s="333"/>
      <c r="S156" s="5"/>
      <c r="T156" s="112"/>
      <c r="X156" s="333"/>
      <c r="Y156" s="5"/>
      <c r="AD156" s="333"/>
      <c r="AE156" s="5"/>
      <c r="AJ156" s="333"/>
      <c r="AK156" s="5"/>
      <c r="AP156" s="333"/>
      <c r="AQ156" s="5"/>
    </row>
    <row r="157" ht="15.75" customHeight="1">
      <c r="L157" s="4"/>
      <c r="M157" s="5"/>
      <c r="N157" s="112"/>
      <c r="R157" s="333"/>
      <c r="S157" s="5"/>
      <c r="T157" s="112"/>
      <c r="X157" s="333"/>
      <c r="Y157" s="5"/>
      <c r="AD157" s="333"/>
      <c r="AE157" s="5"/>
      <c r="AJ157" s="333"/>
      <c r="AK157" s="5"/>
      <c r="AP157" s="333"/>
      <c r="AQ157" s="5"/>
    </row>
    <row r="158" ht="15.75" customHeight="1">
      <c r="L158" s="4"/>
      <c r="M158" s="5"/>
      <c r="N158" s="112"/>
      <c r="R158" s="333"/>
      <c r="S158" s="5"/>
      <c r="T158" s="112"/>
      <c r="X158" s="333"/>
      <c r="Y158" s="5"/>
      <c r="AD158" s="333"/>
      <c r="AE158" s="5"/>
      <c r="AJ158" s="333"/>
      <c r="AK158" s="5"/>
      <c r="AP158" s="333"/>
      <c r="AQ158" s="5"/>
    </row>
    <row r="159" ht="15.75" customHeight="1">
      <c r="L159" s="4"/>
      <c r="M159" s="5"/>
      <c r="N159" s="112"/>
      <c r="R159" s="333"/>
      <c r="S159" s="5"/>
      <c r="T159" s="112"/>
      <c r="X159" s="333"/>
      <c r="Y159" s="5"/>
      <c r="AD159" s="333"/>
      <c r="AE159" s="5"/>
      <c r="AJ159" s="333"/>
      <c r="AK159" s="5"/>
      <c r="AP159" s="333"/>
      <c r="AQ159" s="5"/>
    </row>
    <row r="160" ht="15.75" customHeight="1">
      <c r="L160" s="4"/>
      <c r="M160" s="5"/>
      <c r="N160" s="112"/>
      <c r="R160" s="333"/>
      <c r="S160" s="5"/>
      <c r="T160" s="112"/>
      <c r="X160" s="333"/>
      <c r="Y160" s="5"/>
      <c r="AD160" s="333"/>
      <c r="AE160" s="5"/>
      <c r="AJ160" s="333"/>
      <c r="AK160" s="5"/>
      <c r="AP160" s="333"/>
      <c r="AQ160" s="5"/>
    </row>
    <row r="161" ht="15.75" customHeight="1">
      <c r="L161" s="4"/>
      <c r="M161" s="5"/>
      <c r="N161" s="112"/>
      <c r="R161" s="333"/>
      <c r="S161" s="5"/>
      <c r="T161" s="112"/>
      <c r="X161" s="333"/>
      <c r="Y161" s="5"/>
      <c r="AD161" s="333"/>
      <c r="AE161" s="5"/>
      <c r="AJ161" s="333"/>
      <c r="AK161" s="5"/>
      <c r="AP161" s="333"/>
      <c r="AQ161" s="5"/>
    </row>
    <row r="162" ht="15.75" customHeight="1">
      <c r="L162" s="4"/>
      <c r="M162" s="5"/>
      <c r="N162" s="112"/>
      <c r="R162" s="333"/>
      <c r="S162" s="5"/>
      <c r="T162" s="112"/>
      <c r="X162" s="333"/>
      <c r="Y162" s="5"/>
      <c r="AD162" s="333"/>
      <c r="AE162" s="5"/>
      <c r="AJ162" s="333"/>
      <c r="AK162" s="5"/>
      <c r="AP162" s="333"/>
      <c r="AQ162" s="5"/>
    </row>
    <row r="163" ht="15.75" customHeight="1">
      <c r="L163" s="4"/>
      <c r="M163" s="5"/>
      <c r="N163" s="112"/>
      <c r="R163" s="333"/>
      <c r="S163" s="5"/>
      <c r="T163" s="112"/>
      <c r="X163" s="333"/>
      <c r="Y163" s="5"/>
      <c r="AD163" s="333"/>
      <c r="AE163" s="5"/>
      <c r="AJ163" s="333"/>
      <c r="AK163" s="5"/>
      <c r="AP163" s="333"/>
      <c r="AQ163" s="5"/>
    </row>
    <row r="164" ht="15.75" customHeight="1">
      <c r="L164" s="4"/>
      <c r="M164" s="5"/>
      <c r="N164" s="112"/>
      <c r="R164" s="333"/>
      <c r="S164" s="5"/>
      <c r="T164" s="112"/>
      <c r="X164" s="333"/>
      <c r="Y164" s="5"/>
      <c r="AD164" s="333"/>
      <c r="AE164" s="5"/>
      <c r="AJ164" s="333"/>
      <c r="AK164" s="5"/>
      <c r="AP164" s="333"/>
      <c r="AQ164" s="5"/>
    </row>
    <row r="165" ht="15.75" customHeight="1">
      <c r="C165" s="4"/>
      <c r="D165" s="333"/>
      <c r="E165" s="5"/>
      <c r="F165" s="5"/>
      <c r="G165" s="5"/>
      <c r="H165" s="112"/>
      <c r="L165" s="4"/>
      <c r="M165" s="5"/>
      <c r="N165" s="112"/>
      <c r="R165" s="333"/>
      <c r="S165" s="5"/>
      <c r="T165" s="112"/>
      <c r="X165" s="333"/>
      <c r="Y165" s="5"/>
      <c r="AD165" s="333"/>
      <c r="AE165" s="5"/>
      <c r="AJ165" s="333"/>
      <c r="AK165" s="5"/>
      <c r="AP165" s="333"/>
      <c r="AQ165" s="5"/>
    </row>
    <row r="166" ht="15.75" customHeight="1">
      <c r="C166" s="4"/>
      <c r="D166" s="333"/>
      <c r="E166" s="5"/>
      <c r="F166" s="5"/>
      <c r="G166" s="5"/>
      <c r="H166" s="112"/>
      <c r="L166" s="4"/>
      <c r="M166" s="5"/>
      <c r="N166" s="112"/>
      <c r="R166" s="333"/>
      <c r="S166" s="5"/>
      <c r="T166" s="112"/>
      <c r="X166" s="333"/>
      <c r="Y166" s="5"/>
      <c r="AD166" s="333"/>
      <c r="AE166" s="5"/>
      <c r="AJ166" s="333"/>
      <c r="AK166" s="5"/>
      <c r="AP166" s="333"/>
      <c r="AQ166" s="5"/>
    </row>
    <row r="167" ht="15.75" customHeight="1">
      <c r="C167" s="4"/>
      <c r="D167" s="333"/>
      <c r="E167" s="5"/>
      <c r="F167" s="5"/>
      <c r="G167" s="5"/>
      <c r="H167" s="112"/>
      <c r="K167" s="273" t="s">
        <v>3</v>
      </c>
      <c r="L167" s="117"/>
      <c r="M167" s="117"/>
      <c r="N167" s="118"/>
      <c r="R167" s="333"/>
      <c r="S167" s="5"/>
      <c r="T167" s="112"/>
      <c r="X167" s="333"/>
      <c r="Y167" s="5"/>
      <c r="AD167" s="333"/>
      <c r="AE167" s="5"/>
      <c r="AJ167" s="333"/>
      <c r="AK167" s="5"/>
      <c r="AP167" s="333"/>
      <c r="AQ167" s="5"/>
    </row>
    <row r="168" ht="15.75" customHeight="1">
      <c r="C168" s="4"/>
      <c r="D168" s="333"/>
      <c r="E168" s="5"/>
      <c r="F168" s="5"/>
      <c r="G168" s="5"/>
      <c r="H168" s="112"/>
      <c r="K168" s="281" t="s">
        <v>15</v>
      </c>
      <c r="L168" s="282" t="s">
        <v>9</v>
      </c>
      <c r="M168" s="283" t="s">
        <v>11</v>
      </c>
      <c r="N168" s="284" t="s">
        <v>16</v>
      </c>
      <c r="R168" s="333"/>
      <c r="S168" s="5"/>
      <c r="T168" s="112"/>
      <c r="X168" s="333"/>
      <c r="Y168" s="5"/>
      <c r="AD168" s="333"/>
      <c r="AE168" s="5"/>
      <c r="AJ168" s="333"/>
      <c r="AK168" s="5"/>
      <c r="AP168" s="333"/>
      <c r="AQ168" s="5"/>
    </row>
    <row r="169" ht="15.75" customHeight="1">
      <c r="C169" s="4"/>
      <c r="D169" s="333"/>
      <c r="E169" s="5"/>
      <c r="F169" s="5"/>
      <c r="G169" s="5"/>
      <c r="H169" s="112"/>
      <c r="K169" s="346" t="s">
        <v>374</v>
      </c>
      <c r="L169" s="158">
        <v>45557.0</v>
      </c>
      <c r="M169" s="347">
        <v>1000.0</v>
      </c>
      <c r="N169" s="348" t="s">
        <v>375</v>
      </c>
      <c r="R169" s="333"/>
      <c r="S169" s="5"/>
      <c r="T169" s="112"/>
      <c r="X169" s="333"/>
      <c r="Y169" s="5"/>
      <c r="AD169" s="333"/>
      <c r="AE169" s="5"/>
      <c r="AJ169" s="333"/>
      <c r="AK169" s="5"/>
      <c r="AP169" s="333"/>
      <c r="AQ169" s="5"/>
    </row>
    <row r="170" ht="15.75" customHeight="1">
      <c r="C170" s="4"/>
      <c r="D170" s="333"/>
      <c r="E170" s="5"/>
      <c r="F170" s="5"/>
      <c r="G170" s="5"/>
      <c r="H170" s="112"/>
      <c r="K170" s="346" t="s">
        <v>376</v>
      </c>
      <c r="L170" s="158">
        <v>45558.0</v>
      </c>
      <c r="M170" s="347">
        <v>1000.0</v>
      </c>
      <c r="N170" s="348" t="s">
        <v>377</v>
      </c>
      <c r="R170" s="333"/>
      <c r="S170" s="5"/>
      <c r="T170" s="112"/>
      <c r="X170" s="333"/>
      <c r="Y170" s="5"/>
      <c r="AD170" s="333"/>
      <c r="AE170" s="5"/>
      <c r="AJ170" s="333"/>
      <c r="AK170" s="5"/>
      <c r="AP170" s="333"/>
      <c r="AQ170" s="5"/>
    </row>
    <row r="171" ht="15.75" customHeight="1">
      <c r="C171" s="4"/>
      <c r="D171" s="333"/>
      <c r="E171" s="5"/>
      <c r="F171" s="5"/>
      <c r="G171" s="5"/>
      <c r="H171" s="112"/>
      <c r="K171" s="346" t="s">
        <v>379</v>
      </c>
      <c r="L171" s="158">
        <v>45559.0</v>
      </c>
      <c r="M171" s="347">
        <v>1000.0</v>
      </c>
      <c r="N171" s="348" t="s">
        <v>380</v>
      </c>
      <c r="R171" s="333"/>
      <c r="S171" s="5"/>
      <c r="T171" s="112"/>
      <c r="X171" s="333"/>
      <c r="Y171" s="5"/>
      <c r="AD171" s="333"/>
      <c r="AE171" s="5"/>
      <c r="AJ171" s="333"/>
      <c r="AK171" s="5"/>
      <c r="AP171" s="333"/>
      <c r="AQ171" s="5"/>
    </row>
    <row r="172" ht="15.75" customHeight="1">
      <c r="C172" s="4"/>
      <c r="D172" s="333"/>
      <c r="E172" s="5"/>
      <c r="F172" s="5"/>
      <c r="G172" s="5"/>
      <c r="H172" s="112"/>
      <c r="K172" s="346" t="s">
        <v>381</v>
      </c>
      <c r="L172" s="158">
        <v>45563.0</v>
      </c>
      <c r="M172" s="347">
        <v>2000.0</v>
      </c>
      <c r="N172" s="348" t="s">
        <v>382</v>
      </c>
      <c r="R172" s="333"/>
      <c r="S172" s="5"/>
      <c r="T172" s="112"/>
      <c r="X172" s="333"/>
      <c r="Y172" s="5"/>
      <c r="AD172" s="333"/>
      <c r="AE172" s="5"/>
      <c r="AJ172" s="333"/>
      <c r="AK172" s="5"/>
      <c r="AP172" s="333"/>
      <c r="AQ172" s="5"/>
    </row>
    <row r="173" ht="15.75" customHeight="1">
      <c r="C173" s="4"/>
      <c r="D173" s="333"/>
      <c r="E173" s="5"/>
      <c r="F173" s="5"/>
      <c r="G173" s="5"/>
      <c r="H173" s="112"/>
      <c r="K173" s="307" t="s">
        <v>384</v>
      </c>
      <c r="L173" s="308">
        <v>45568.0</v>
      </c>
      <c r="M173" s="373">
        <v>1000.0</v>
      </c>
      <c r="N173" s="331" t="s">
        <v>385</v>
      </c>
      <c r="R173" s="333"/>
      <c r="S173" s="5"/>
      <c r="T173" s="112"/>
      <c r="X173" s="333"/>
      <c r="Y173" s="5"/>
      <c r="AD173" s="333"/>
      <c r="AE173" s="5"/>
      <c r="AJ173" s="333"/>
      <c r="AK173" s="5"/>
      <c r="AP173" s="333"/>
      <c r="AQ173" s="5"/>
    </row>
    <row r="174" ht="15.75" customHeight="1">
      <c r="C174" s="4"/>
      <c r="D174" s="333"/>
      <c r="E174" s="5"/>
      <c r="F174" s="5"/>
      <c r="G174" s="5"/>
      <c r="H174" s="112"/>
      <c r="K174" s="44"/>
      <c r="L174" s="156"/>
      <c r="M174" s="292"/>
      <c r="N174" s="297"/>
      <c r="R174" s="333"/>
      <c r="S174" s="5"/>
      <c r="T174" s="112"/>
      <c r="X174" s="333"/>
      <c r="Y174" s="5"/>
      <c r="AD174" s="333"/>
      <c r="AE174" s="5"/>
      <c r="AJ174" s="333"/>
      <c r="AK174" s="5"/>
      <c r="AP174" s="333"/>
      <c r="AQ174" s="5"/>
    </row>
    <row r="175" ht="15.75" customHeight="1">
      <c r="C175" s="4"/>
      <c r="D175" s="333"/>
      <c r="E175" s="5"/>
      <c r="F175" s="5"/>
      <c r="G175" s="5"/>
      <c r="H175" s="112"/>
      <c r="K175" s="326" t="s">
        <v>46</v>
      </c>
      <c r="L175" s="251"/>
      <c r="M175" s="327">
        <f>SUM(M137:M174)</f>
        <v>6000</v>
      </c>
      <c r="N175" s="264"/>
      <c r="R175" s="333"/>
      <c r="S175" s="5"/>
      <c r="T175" s="112"/>
      <c r="X175" s="333"/>
      <c r="Y175" s="5"/>
      <c r="AD175" s="333"/>
      <c r="AE175" s="5"/>
      <c r="AJ175" s="333"/>
      <c r="AK175" s="5"/>
      <c r="AP175" s="333"/>
      <c r="AQ175" s="5"/>
    </row>
    <row r="176" ht="15.75" customHeight="1">
      <c r="C176" s="4"/>
      <c r="D176" s="333"/>
      <c r="E176" s="5"/>
      <c r="F176" s="5"/>
      <c r="G176" s="5"/>
      <c r="H176" s="112"/>
      <c r="K176" s="255"/>
      <c r="L176" s="256"/>
      <c r="M176" s="257"/>
      <c r="N176" s="264"/>
      <c r="R176" s="333"/>
      <c r="S176" s="5"/>
      <c r="T176" s="112"/>
      <c r="X176" s="333"/>
      <c r="Y176" s="5"/>
      <c r="AD176" s="333"/>
      <c r="AE176" s="5"/>
      <c r="AJ176" s="333"/>
      <c r="AK176" s="5"/>
      <c r="AP176" s="333"/>
      <c r="AQ176" s="5"/>
    </row>
    <row r="177" ht="15.75" customHeight="1">
      <c r="C177" s="4"/>
      <c r="D177" s="333"/>
      <c r="E177" s="5"/>
      <c r="F177" s="5"/>
      <c r="G177" s="5"/>
      <c r="H177" s="112"/>
      <c r="R177" s="333"/>
      <c r="S177" s="5"/>
      <c r="T177" s="112"/>
      <c r="X177" s="333"/>
      <c r="Y177" s="5"/>
      <c r="AD177" s="333"/>
      <c r="AE177" s="5"/>
      <c r="AJ177" s="333"/>
      <c r="AK177" s="5"/>
      <c r="AP177" s="333"/>
      <c r="AQ177" s="5"/>
    </row>
    <row r="178" ht="15.75" customHeight="1">
      <c r="C178" s="4"/>
      <c r="D178" s="333"/>
      <c r="E178" s="5"/>
      <c r="F178" s="5"/>
      <c r="G178" s="5"/>
      <c r="H178" s="112"/>
      <c r="R178" s="333"/>
      <c r="S178" s="5"/>
      <c r="T178" s="112"/>
      <c r="X178" s="333"/>
      <c r="Y178" s="5"/>
      <c r="AD178" s="333"/>
      <c r="AE178" s="5"/>
      <c r="AJ178" s="333"/>
      <c r="AK178" s="5"/>
      <c r="AP178" s="333"/>
      <c r="AQ178" s="5"/>
    </row>
    <row r="179" ht="15.75" customHeight="1">
      <c r="C179" s="4"/>
      <c r="D179" s="333"/>
      <c r="E179" s="5"/>
      <c r="F179" s="5"/>
      <c r="G179" s="5"/>
      <c r="H179" s="112"/>
      <c r="L179" s="4"/>
      <c r="M179" s="5"/>
      <c r="N179" s="112"/>
      <c r="R179" s="333"/>
      <c r="S179" s="5"/>
      <c r="T179" s="112"/>
      <c r="X179" s="333"/>
      <c r="Y179" s="5"/>
      <c r="AD179" s="333"/>
      <c r="AE179" s="5"/>
      <c r="AJ179" s="333"/>
      <c r="AK179" s="5"/>
      <c r="AP179" s="333"/>
      <c r="AQ179" s="5"/>
    </row>
    <row r="180" ht="15.75" customHeight="1">
      <c r="C180" s="4"/>
      <c r="D180" s="333"/>
      <c r="E180" s="5"/>
      <c r="F180" s="5"/>
      <c r="G180" s="5"/>
      <c r="H180" s="112"/>
      <c r="L180" s="4"/>
      <c r="M180" s="5"/>
      <c r="N180" s="112"/>
      <c r="R180" s="333"/>
      <c r="S180" s="5"/>
      <c r="T180" s="112"/>
      <c r="X180" s="333"/>
      <c r="Y180" s="5"/>
      <c r="AD180" s="333"/>
      <c r="AE180" s="5"/>
      <c r="AJ180" s="333"/>
      <c r="AK180" s="5"/>
      <c r="AP180" s="333"/>
      <c r="AQ180" s="5"/>
    </row>
    <row r="181" ht="15.75" customHeight="1">
      <c r="C181" s="4"/>
      <c r="D181" s="333"/>
      <c r="E181" s="5"/>
      <c r="F181" s="5"/>
      <c r="G181" s="5"/>
      <c r="H181" s="112"/>
      <c r="L181" s="4"/>
      <c r="M181" s="5"/>
      <c r="N181" s="112"/>
      <c r="R181" s="333"/>
      <c r="S181" s="5"/>
      <c r="T181" s="112"/>
      <c r="X181" s="333"/>
      <c r="Y181" s="5"/>
      <c r="AD181" s="333"/>
      <c r="AE181" s="5"/>
      <c r="AJ181" s="333"/>
      <c r="AK181" s="5"/>
      <c r="AP181" s="333"/>
      <c r="AQ181" s="5"/>
    </row>
    <row r="182" ht="15.75" customHeight="1">
      <c r="C182" s="4"/>
      <c r="D182" s="333"/>
      <c r="E182" s="5"/>
      <c r="F182" s="5"/>
      <c r="G182" s="5"/>
      <c r="H182" s="112"/>
      <c r="L182" s="4"/>
      <c r="M182" s="5"/>
      <c r="N182" s="112"/>
      <c r="R182" s="333"/>
      <c r="S182" s="5"/>
      <c r="T182" s="112"/>
      <c r="X182" s="333"/>
      <c r="Y182" s="5"/>
      <c r="AD182" s="333"/>
      <c r="AE182" s="5"/>
      <c r="AJ182" s="333"/>
      <c r="AK182" s="5"/>
      <c r="AP182" s="333"/>
      <c r="AQ182" s="5"/>
    </row>
    <row r="183" ht="15.75" customHeight="1">
      <c r="C183" s="4"/>
      <c r="D183" s="333"/>
      <c r="E183" s="5"/>
      <c r="F183" s="5"/>
      <c r="G183" s="5"/>
      <c r="H183" s="112"/>
      <c r="L183" s="4"/>
      <c r="M183" s="5"/>
      <c r="N183" s="112"/>
      <c r="R183" s="333"/>
      <c r="S183" s="5"/>
      <c r="T183" s="112"/>
      <c r="X183" s="333"/>
      <c r="Y183" s="5"/>
      <c r="AD183" s="333"/>
      <c r="AE183" s="5"/>
      <c r="AJ183" s="333"/>
      <c r="AK183" s="5"/>
      <c r="AP183" s="333"/>
      <c r="AQ183" s="5"/>
    </row>
    <row r="184" ht="15.75" customHeight="1">
      <c r="C184" s="4"/>
      <c r="D184" s="333"/>
      <c r="E184" s="5"/>
      <c r="F184" s="5"/>
      <c r="G184" s="5"/>
      <c r="H184" s="112"/>
      <c r="L184" s="4"/>
      <c r="M184" s="5"/>
      <c r="N184" s="112"/>
      <c r="R184" s="333"/>
      <c r="S184" s="5"/>
      <c r="T184" s="112"/>
      <c r="X184" s="333"/>
      <c r="Y184" s="5"/>
      <c r="AD184" s="333"/>
      <c r="AE184" s="5"/>
      <c r="AJ184" s="333"/>
      <c r="AK184" s="5"/>
      <c r="AP184" s="333"/>
      <c r="AQ184" s="5"/>
    </row>
    <row r="185" ht="15.75" customHeight="1">
      <c r="C185" s="4"/>
      <c r="D185" s="333"/>
      <c r="E185" s="5"/>
      <c r="F185" s="5"/>
      <c r="G185" s="5"/>
      <c r="H185" s="112"/>
      <c r="L185" s="4"/>
      <c r="M185" s="5"/>
      <c r="N185" s="112"/>
      <c r="R185" s="333"/>
      <c r="S185" s="5"/>
      <c r="T185" s="112"/>
      <c r="X185" s="333"/>
      <c r="Y185" s="5"/>
      <c r="AD185" s="333"/>
      <c r="AE185" s="5"/>
      <c r="AJ185" s="333"/>
      <c r="AK185" s="5"/>
      <c r="AP185" s="333"/>
      <c r="AQ185" s="5"/>
    </row>
    <row r="186" ht="15.75" customHeight="1">
      <c r="C186" s="4"/>
      <c r="D186" s="333"/>
      <c r="E186" s="5"/>
      <c r="F186" s="5"/>
      <c r="G186" s="5"/>
      <c r="H186" s="112"/>
      <c r="L186" s="4"/>
      <c r="M186" s="5"/>
      <c r="N186" s="112"/>
      <c r="R186" s="333"/>
      <c r="S186" s="5"/>
      <c r="T186" s="112"/>
      <c r="X186" s="333"/>
      <c r="Y186" s="5"/>
      <c r="AD186" s="333"/>
      <c r="AE186" s="5"/>
      <c r="AJ186" s="333"/>
      <c r="AK186" s="5"/>
      <c r="AP186" s="333"/>
      <c r="AQ186" s="5"/>
    </row>
    <row r="187" ht="15.75" customHeight="1">
      <c r="C187" s="4"/>
      <c r="D187" s="333"/>
      <c r="E187" s="5"/>
      <c r="F187" s="5"/>
      <c r="G187" s="5"/>
      <c r="H187" s="112"/>
      <c r="L187" s="4"/>
      <c r="M187" s="5"/>
      <c r="N187" s="112"/>
      <c r="R187" s="333"/>
      <c r="S187" s="5"/>
      <c r="T187" s="112"/>
      <c r="X187" s="333"/>
      <c r="Y187" s="5"/>
      <c r="AD187" s="333"/>
      <c r="AE187" s="5"/>
      <c r="AJ187" s="333"/>
      <c r="AK187" s="5"/>
      <c r="AP187" s="333"/>
      <c r="AQ187" s="5"/>
    </row>
    <row r="188" ht="15.75" customHeight="1">
      <c r="C188" s="4"/>
      <c r="D188" s="333"/>
      <c r="E188" s="5"/>
      <c r="F188" s="5"/>
      <c r="G188" s="5"/>
      <c r="H188" s="112"/>
      <c r="L188" s="4"/>
      <c r="M188" s="5"/>
      <c r="N188" s="112"/>
      <c r="R188" s="333"/>
      <c r="S188" s="5"/>
      <c r="T188" s="112"/>
      <c r="X188" s="333"/>
      <c r="Y188" s="5"/>
      <c r="AD188" s="333"/>
      <c r="AE188" s="5"/>
      <c r="AJ188" s="333"/>
      <c r="AK188" s="5"/>
      <c r="AP188" s="333"/>
      <c r="AQ188" s="5"/>
    </row>
    <row r="189" ht="15.75" customHeight="1">
      <c r="C189" s="4"/>
      <c r="D189" s="333"/>
      <c r="E189" s="5"/>
      <c r="F189" s="5"/>
      <c r="G189" s="5"/>
      <c r="H189" s="112"/>
      <c r="L189" s="4"/>
      <c r="M189" s="5"/>
      <c r="N189" s="112"/>
      <c r="R189" s="333"/>
      <c r="S189" s="5"/>
      <c r="T189" s="112"/>
      <c r="X189" s="333"/>
      <c r="Y189" s="5"/>
      <c r="AD189" s="333"/>
      <c r="AE189" s="5"/>
      <c r="AJ189" s="333"/>
      <c r="AK189" s="5"/>
      <c r="AP189" s="333"/>
      <c r="AQ189" s="5"/>
    </row>
    <row r="190" ht="15.75" customHeight="1">
      <c r="C190" s="4"/>
      <c r="D190" s="333"/>
      <c r="E190" s="5"/>
      <c r="F190" s="5"/>
      <c r="G190" s="5"/>
      <c r="H190" s="112"/>
      <c r="L190" s="4"/>
      <c r="M190" s="5"/>
      <c r="N190" s="112"/>
      <c r="R190" s="333"/>
      <c r="S190" s="5"/>
      <c r="T190" s="112"/>
      <c r="X190" s="333"/>
      <c r="Y190" s="5"/>
      <c r="AD190" s="333"/>
      <c r="AE190" s="5"/>
      <c r="AJ190" s="333"/>
      <c r="AK190" s="5"/>
      <c r="AP190" s="333"/>
      <c r="AQ190" s="5"/>
    </row>
    <row r="191" ht="15.75" customHeight="1">
      <c r="C191" s="4"/>
      <c r="D191" s="333"/>
      <c r="E191" s="5"/>
      <c r="F191" s="5"/>
      <c r="G191" s="5"/>
      <c r="H191" s="112"/>
      <c r="L191" s="4"/>
      <c r="M191" s="5"/>
      <c r="N191" s="112"/>
      <c r="R191" s="333"/>
      <c r="S191" s="5"/>
      <c r="T191" s="112"/>
      <c r="X191" s="333"/>
      <c r="Y191" s="5"/>
      <c r="AD191" s="333"/>
      <c r="AE191" s="5"/>
      <c r="AJ191" s="333"/>
      <c r="AK191" s="5"/>
      <c r="AP191" s="333"/>
      <c r="AQ191" s="5"/>
    </row>
    <row r="192" ht="15.75" customHeight="1">
      <c r="C192" s="4"/>
      <c r="D192" s="333"/>
      <c r="E192" s="5"/>
      <c r="F192" s="5"/>
      <c r="G192" s="5"/>
      <c r="H192" s="112"/>
      <c r="L192" s="4"/>
      <c r="M192" s="5"/>
      <c r="N192" s="112"/>
      <c r="R192" s="333"/>
      <c r="S192" s="5"/>
      <c r="T192" s="112"/>
      <c r="X192" s="333"/>
      <c r="Y192" s="5"/>
      <c r="AD192" s="333"/>
      <c r="AE192" s="5"/>
      <c r="AJ192" s="333"/>
      <c r="AK192" s="5"/>
      <c r="AP192" s="333"/>
      <c r="AQ192" s="5"/>
    </row>
    <row r="193" ht="15.75" customHeight="1">
      <c r="C193" s="4"/>
      <c r="D193" s="333"/>
      <c r="E193" s="5"/>
      <c r="F193" s="5"/>
      <c r="G193" s="5"/>
      <c r="H193" s="112"/>
      <c r="L193" s="4"/>
      <c r="M193" s="5"/>
      <c r="N193" s="112"/>
      <c r="R193" s="333"/>
      <c r="S193" s="5"/>
      <c r="T193" s="112"/>
      <c r="X193" s="333"/>
      <c r="Y193" s="5"/>
      <c r="AD193" s="333"/>
      <c r="AE193" s="5"/>
      <c r="AJ193" s="333"/>
      <c r="AK193" s="5"/>
      <c r="AP193" s="333"/>
      <c r="AQ193" s="5"/>
    </row>
    <row r="194" ht="15.75" customHeight="1">
      <c r="C194" s="4"/>
      <c r="D194" s="333"/>
      <c r="E194" s="5"/>
      <c r="F194" s="5"/>
      <c r="G194" s="5"/>
      <c r="H194" s="112"/>
      <c r="L194" s="4"/>
      <c r="M194" s="5"/>
      <c r="N194" s="112"/>
      <c r="R194" s="333"/>
      <c r="S194" s="5"/>
      <c r="T194" s="112"/>
      <c r="X194" s="333"/>
      <c r="Y194" s="5"/>
      <c r="AD194" s="333"/>
      <c r="AE194" s="5"/>
      <c r="AJ194" s="333"/>
      <c r="AK194" s="5"/>
      <c r="AP194" s="333"/>
      <c r="AQ194" s="5"/>
    </row>
    <row r="195" ht="15.75" customHeight="1">
      <c r="C195" s="4"/>
      <c r="D195" s="333"/>
      <c r="E195" s="5"/>
      <c r="F195" s="5"/>
      <c r="G195" s="5"/>
      <c r="H195" s="112"/>
      <c r="L195" s="4"/>
      <c r="M195" s="5"/>
      <c r="N195" s="112"/>
      <c r="R195" s="333"/>
      <c r="S195" s="5"/>
      <c r="T195" s="112"/>
      <c r="X195" s="333"/>
      <c r="Y195" s="5"/>
      <c r="AD195" s="333"/>
      <c r="AE195" s="5"/>
      <c r="AJ195" s="333"/>
      <c r="AK195" s="5"/>
      <c r="AP195" s="333"/>
      <c r="AQ195" s="5"/>
    </row>
    <row r="196" ht="15.75" customHeight="1">
      <c r="C196" s="4"/>
      <c r="D196" s="333"/>
      <c r="E196" s="5"/>
      <c r="F196" s="5"/>
      <c r="G196" s="5"/>
      <c r="H196" s="112"/>
      <c r="L196" s="4"/>
      <c r="M196" s="5"/>
      <c r="N196" s="112"/>
      <c r="R196" s="333"/>
      <c r="S196" s="5"/>
      <c r="T196" s="112"/>
      <c r="X196" s="333"/>
      <c r="Y196" s="5"/>
      <c r="AD196" s="333"/>
      <c r="AE196" s="5"/>
      <c r="AJ196" s="333"/>
      <c r="AK196" s="5"/>
      <c r="AP196" s="333"/>
      <c r="AQ196" s="5"/>
    </row>
    <row r="197" ht="15.75" customHeight="1">
      <c r="C197" s="4"/>
      <c r="D197" s="333"/>
      <c r="E197" s="5"/>
      <c r="F197" s="5"/>
      <c r="G197" s="5"/>
      <c r="H197" s="112"/>
      <c r="L197" s="4"/>
      <c r="M197" s="5"/>
      <c r="N197" s="112"/>
      <c r="R197" s="333"/>
      <c r="S197" s="5"/>
      <c r="T197" s="112"/>
      <c r="X197" s="333"/>
      <c r="Y197" s="5"/>
      <c r="AD197" s="333"/>
      <c r="AE197" s="5"/>
      <c r="AJ197" s="333"/>
      <c r="AK197" s="5"/>
      <c r="AP197" s="333"/>
      <c r="AQ197" s="5"/>
    </row>
    <row r="198" ht="15.75" customHeight="1">
      <c r="C198" s="4"/>
      <c r="D198" s="333"/>
      <c r="E198" s="5"/>
      <c r="F198" s="5"/>
      <c r="G198" s="5"/>
      <c r="H198" s="112"/>
      <c r="L198" s="4"/>
      <c r="M198" s="5"/>
      <c r="N198" s="112"/>
      <c r="R198" s="333"/>
      <c r="S198" s="5"/>
      <c r="T198" s="112"/>
      <c r="X198" s="333"/>
      <c r="Y198" s="5"/>
      <c r="AD198" s="333"/>
      <c r="AE198" s="5"/>
      <c r="AJ198" s="333"/>
      <c r="AK198" s="5"/>
      <c r="AP198" s="333"/>
      <c r="AQ198" s="5"/>
    </row>
    <row r="199" ht="15.75" customHeight="1">
      <c r="C199" s="4"/>
      <c r="D199" s="333"/>
      <c r="E199" s="5"/>
      <c r="F199" s="5"/>
      <c r="G199" s="5"/>
      <c r="H199" s="112"/>
      <c r="L199" s="4"/>
      <c r="M199" s="5"/>
      <c r="N199" s="112"/>
      <c r="R199" s="333"/>
      <c r="S199" s="5"/>
      <c r="T199" s="112"/>
      <c r="X199" s="333"/>
      <c r="Y199" s="5"/>
      <c r="AD199" s="333"/>
      <c r="AE199" s="5"/>
      <c r="AJ199" s="333"/>
      <c r="AK199" s="5"/>
      <c r="AP199" s="333"/>
      <c r="AQ199" s="5"/>
    </row>
    <row r="200" ht="15.75" customHeight="1">
      <c r="C200" s="4"/>
      <c r="D200" s="333"/>
      <c r="E200" s="5"/>
      <c r="F200" s="5"/>
      <c r="G200" s="5"/>
      <c r="H200" s="112"/>
      <c r="L200" s="4"/>
      <c r="M200" s="5"/>
      <c r="N200" s="112"/>
      <c r="R200" s="333"/>
      <c r="S200" s="5"/>
      <c r="T200" s="112"/>
      <c r="X200" s="333"/>
      <c r="Y200" s="5"/>
      <c r="AD200" s="333"/>
      <c r="AE200" s="5"/>
      <c r="AJ200" s="333"/>
      <c r="AK200" s="5"/>
      <c r="AP200" s="333"/>
      <c r="AQ200" s="5"/>
    </row>
    <row r="201" ht="15.75" customHeight="1">
      <c r="C201" s="4"/>
      <c r="D201" s="333"/>
      <c r="E201" s="5"/>
      <c r="F201" s="5"/>
      <c r="G201" s="5"/>
      <c r="H201" s="112"/>
      <c r="L201" s="4"/>
      <c r="M201" s="5"/>
      <c r="N201" s="112"/>
      <c r="R201" s="333"/>
      <c r="S201" s="5"/>
      <c r="T201" s="112"/>
      <c r="X201" s="333"/>
      <c r="Y201" s="5"/>
      <c r="AD201" s="333"/>
      <c r="AE201" s="5"/>
      <c r="AJ201" s="333"/>
      <c r="AK201" s="5"/>
      <c r="AP201" s="333"/>
      <c r="AQ201" s="5"/>
    </row>
    <row r="202" ht="15.75" customHeight="1">
      <c r="C202" s="4"/>
      <c r="D202" s="333"/>
      <c r="E202" s="5"/>
      <c r="F202" s="5"/>
      <c r="G202" s="5"/>
      <c r="H202" s="112"/>
      <c r="L202" s="4"/>
      <c r="M202" s="5"/>
      <c r="N202" s="112"/>
      <c r="R202" s="333"/>
      <c r="S202" s="5"/>
      <c r="T202" s="112"/>
      <c r="X202" s="333"/>
      <c r="Y202" s="5"/>
      <c r="AD202" s="333"/>
      <c r="AE202" s="5"/>
      <c r="AJ202" s="333"/>
      <c r="AK202" s="5"/>
      <c r="AP202" s="333"/>
      <c r="AQ202" s="5"/>
    </row>
    <row r="203" ht="15.75" customHeight="1">
      <c r="C203" s="4"/>
      <c r="D203" s="333"/>
      <c r="E203" s="5"/>
      <c r="F203" s="5"/>
      <c r="G203" s="5"/>
      <c r="H203" s="112"/>
      <c r="L203" s="4"/>
      <c r="M203" s="5"/>
      <c r="N203" s="112"/>
      <c r="R203" s="333"/>
      <c r="S203" s="5"/>
      <c r="T203" s="112"/>
      <c r="X203" s="333"/>
      <c r="Y203" s="5"/>
      <c r="AD203" s="333"/>
      <c r="AE203" s="5"/>
      <c r="AJ203" s="333"/>
      <c r="AK203" s="5"/>
      <c r="AP203" s="333"/>
      <c r="AQ203" s="5"/>
    </row>
    <row r="204" ht="15.75" customHeight="1">
      <c r="C204" s="4"/>
      <c r="D204" s="333"/>
      <c r="E204" s="5"/>
      <c r="F204" s="5"/>
      <c r="G204" s="5"/>
      <c r="H204" s="112"/>
      <c r="L204" s="4"/>
      <c r="M204" s="5"/>
      <c r="N204" s="112"/>
      <c r="R204" s="333"/>
      <c r="S204" s="5"/>
      <c r="T204" s="112"/>
      <c r="X204" s="333"/>
      <c r="Y204" s="5"/>
      <c r="AD204" s="333"/>
      <c r="AE204" s="5"/>
      <c r="AJ204" s="333"/>
      <c r="AK204" s="5"/>
      <c r="AP204" s="333"/>
      <c r="AQ204" s="5"/>
    </row>
    <row r="205" ht="15.75" customHeight="1">
      <c r="C205" s="4"/>
      <c r="D205" s="333"/>
      <c r="E205" s="5"/>
      <c r="F205" s="5"/>
      <c r="G205" s="5"/>
      <c r="H205" s="112"/>
      <c r="L205" s="4"/>
      <c r="M205" s="5"/>
      <c r="N205" s="112"/>
      <c r="R205" s="333"/>
      <c r="S205" s="5"/>
      <c r="T205" s="112"/>
      <c r="X205" s="333"/>
      <c r="Y205" s="5"/>
      <c r="AD205" s="333"/>
      <c r="AE205" s="5"/>
      <c r="AJ205" s="333"/>
      <c r="AK205" s="5"/>
      <c r="AP205" s="333"/>
      <c r="AQ205" s="5"/>
    </row>
    <row r="206" ht="15.75" customHeight="1">
      <c r="C206" s="4"/>
      <c r="D206" s="333"/>
      <c r="E206" s="5"/>
      <c r="F206" s="5"/>
      <c r="G206" s="5"/>
      <c r="H206" s="112"/>
      <c r="L206" s="4"/>
      <c r="M206" s="5"/>
      <c r="N206" s="112"/>
      <c r="R206" s="333"/>
      <c r="S206" s="5"/>
      <c r="T206" s="112"/>
      <c r="X206" s="333"/>
      <c r="Y206" s="5"/>
      <c r="AD206" s="333"/>
      <c r="AE206" s="5"/>
      <c r="AJ206" s="333"/>
      <c r="AK206" s="5"/>
      <c r="AP206" s="333"/>
      <c r="AQ206" s="5"/>
    </row>
    <row r="207" ht="15.75" customHeight="1">
      <c r="C207" s="4"/>
      <c r="D207" s="333"/>
      <c r="E207" s="5"/>
      <c r="F207" s="5"/>
      <c r="G207" s="5"/>
      <c r="H207" s="112"/>
      <c r="L207" s="4"/>
      <c r="M207" s="5"/>
      <c r="N207" s="112"/>
      <c r="R207" s="333"/>
      <c r="S207" s="5"/>
      <c r="T207" s="112"/>
      <c r="X207" s="333"/>
      <c r="Y207" s="5"/>
      <c r="AD207" s="333"/>
      <c r="AE207" s="5"/>
      <c r="AJ207" s="333"/>
      <c r="AK207" s="5"/>
      <c r="AP207" s="333"/>
      <c r="AQ207" s="5"/>
    </row>
    <row r="208" ht="15.75" customHeight="1">
      <c r="C208" s="4"/>
      <c r="D208" s="333"/>
      <c r="E208" s="5"/>
      <c r="F208" s="5"/>
      <c r="G208" s="5"/>
      <c r="H208" s="112"/>
      <c r="L208" s="4"/>
      <c r="M208" s="5"/>
      <c r="N208" s="112"/>
      <c r="R208" s="333"/>
      <c r="S208" s="5"/>
      <c r="T208" s="112"/>
      <c r="X208" s="333"/>
      <c r="Y208" s="5"/>
      <c r="AD208" s="333"/>
      <c r="AE208" s="5"/>
      <c r="AJ208" s="333"/>
      <c r="AK208" s="5"/>
      <c r="AP208" s="333"/>
      <c r="AQ208" s="5"/>
    </row>
    <row r="209" ht="15.75" customHeight="1">
      <c r="C209" s="4"/>
      <c r="D209" s="333"/>
      <c r="E209" s="5"/>
      <c r="F209" s="5"/>
      <c r="G209" s="5"/>
      <c r="H209" s="112"/>
      <c r="L209" s="4"/>
      <c r="M209" s="5"/>
      <c r="N209" s="112"/>
      <c r="R209" s="333"/>
      <c r="S209" s="5"/>
      <c r="T209" s="112"/>
      <c r="X209" s="333"/>
      <c r="Y209" s="5"/>
      <c r="AD209" s="333"/>
      <c r="AE209" s="5"/>
      <c r="AJ209" s="333"/>
      <c r="AK209" s="5"/>
      <c r="AP209" s="333"/>
      <c r="AQ209" s="5"/>
    </row>
    <row r="210" ht="15.75" customHeight="1">
      <c r="C210" s="4"/>
      <c r="D210" s="333"/>
      <c r="E210" s="5"/>
      <c r="F210" s="5"/>
      <c r="G210" s="5"/>
      <c r="H210" s="112"/>
      <c r="L210" s="4"/>
      <c r="M210" s="5"/>
      <c r="N210" s="112"/>
      <c r="R210" s="333"/>
      <c r="S210" s="5"/>
      <c r="T210" s="112"/>
      <c r="X210" s="333"/>
      <c r="Y210" s="5"/>
      <c r="AD210" s="333"/>
      <c r="AE210" s="5"/>
      <c r="AJ210" s="333"/>
      <c r="AK210" s="5"/>
      <c r="AP210" s="333"/>
      <c r="AQ210" s="5"/>
    </row>
    <row r="211" ht="15.75" customHeight="1">
      <c r="C211" s="4"/>
      <c r="D211" s="333"/>
      <c r="E211" s="5"/>
      <c r="F211" s="5"/>
      <c r="G211" s="5"/>
      <c r="H211" s="112"/>
      <c r="L211" s="4"/>
      <c r="M211" s="5"/>
      <c r="N211" s="112"/>
      <c r="R211" s="333"/>
      <c r="S211" s="5"/>
      <c r="T211" s="112"/>
      <c r="X211" s="333"/>
      <c r="Y211" s="5"/>
      <c r="AD211" s="333"/>
      <c r="AE211" s="5"/>
      <c r="AJ211" s="333"/>
      <c r="AK211" s="5"/>
      <c r="AP211" s="333"/>
      <c r="AQ211" s="5"/>
    </row>
    <row r="212" ht="15.75" customHeight="1">
      <c r="C212" s="4"/>
      <c r="D212" s="333"/>
      <c r="E212" s="5"/>
      <c r="F212" s="5"/>
      <c r="G212" s="5"/>
      <c r="H212" s="112"/>
      <c r="L212" s="4"/>
      <c r="M212" s="5"/>
      <c r="N212" s="112"/>
      <c r="R212" s="333"/>
      <c r="S212" s="5"/>
      <c r="T212" s="112"/>
      <c r="X212" s="333"/>
      <c r="Y212" s="5"/>
      <c r="AD212" s="333"/>
      <c r="AE212" s="5"/>
      <c r="AJ212" s="333"/>
      <c r="AK212" s="5"/>
      <c r="AP212" s="333"/>
      <c r="AQ212" s="5"/>
    </row>
    <row r="213" ht="15.75" customHeight="1">
      <c r="C213" s="4"/>
      <c r="D213" s="333"/>
      <c r="E213" s="5"/>
      <c r="F213" s="5"/>
      <c r="G213" s="5"/>
      <c r="H213" s="112"/>
      <c r="L213" s="4"/>
      <c r="M213" s="5"/>
      <c r="N213" s="112"/>
      <c r="R213" s="333"/>
      <c r="S213" s="5"/>
      <c r="T213" s="112"/>
      <c r="X213" s="333"/>
      <c r="Y213" s="5"/>
      <c r="AD213" s="333"/>
      <c r="AE213" s="5"/>
      <c r="AJ213" s="333"/>
      <c r="AK213" s="5"/>
      <c r="AP213" s="333"/>
      <c r="AQ213" s="5"/>
    </row>
    <row r="214" ht="15.75" customHeight="1">
      <c r="C214" s="4"/>
      <c r="D214" s="333"/>
      <c r="E214" s="5"/>
      <c r="F214" s="5"/>
      <c r="G214" s="5"/>
      <c r="H214" s="112"/>
      <c r="L214" s="4"/>
      <c r="M214" s="5"/>
      <c r="N214" s="112"/>
      <c r="R214" s="333"/>
      <c r="S214" s="5"/>
      <c r="T214" s="112"/>
      <c r="X214" s="333"/>
      <c r="Y214" s="5"/>
      <c r="AD214" s="333"/>
      <c r="AE214" s="5"/>
      <c r="AJ214" s="333"/>
      <c r="AK214" s="5"/>
      <c r="AP214" s="333"/>
      <c r="AQ214" s="5"/>
    </row>
    <row r="215" ht="15.75" customHeight="1">
      <c r="C215" s="4"/>
      <c r="D215" s="333"/>
      <c r="E215" s="5"/>
      <c r="F215" s="5"/>
      <c r="G215" s="5"/>
      <c r="H215" s="112"/>
      <c r="L215" s="4"/>
      <c r="M215" s="5"/>
      <c r="N215" s="112"/>
      <c r="R215" s="333"/>
      <c r="S215" s="5"/>
      <c r="T215" s="112"/>
      <c r="X215" s="333"/>
      <c r="Y215" s="5"/>
      <c r="AD215" s="333"/>
      <c r="AE215" s="5"/>
      <c r="AJ215" s="333"/>
      <c r="AK215" s="5"/>
      <c r="AP215" s="333"/>
      <c r="AQ215" s="5"/>
    </row>
    <row r="216" ht="15.75" customHeight="1">
      <c r="C216" s="4"/>
      <c r="D216" s="333"/>
      <c r="E216" s="5"/>
      <c r="F216" s="5"/>
      <c r="G216" s="5"/>
      <c r="H216" s="112"/>
      <c r="L216" s="4"/>
      <c r="M216" s="5"/>
      <c r="N216" s="112"/>
      <c r="R216" s="333"/>
      <c r="S216" s="5"/>
      <c r="T216" s="112"/>
      <c r="X216" s="333"/>
      <c r="Y216" s="5"/>
      <c r="AD216" s="333"/>
      <c r="AE216" s="5"/>
      <c r="AJ216" s="333"/>
      <c r="AK216" s="5"/>
      <c r="AP216" s="333"/>
      <c r="AQ216" s="5"/>
    </row>
    <row r="217" ht="15.75" customHeight="1">
      <c r="C217" s="4"/>
      <c r="D217" s="333"/>
      <c r="E217" s="5"/>
      <c r="F217" s="5"/>
      <c r="G217" s="5"/>
      <c r="H217" s="112"/>
      <c r="L217" s="4"/>
      <c r="M217" s="5"/>
      <c r="N217" s="112"/>
      <c r="R217" s="333"/>
      <c r="S217" s="5"/>
      <c r="T217" s="112"/>
      <c r="X217" s="333"/>
      <c r="Y217" s="5"/>
      <c r="AD217" s="333"/>
      <c r="AE217" s="5"/>
      <c r="AJ217" s="333"/>
      <c r="AK217" s="5"/>
      <c r="AP217" s="333"/>
      <c r="AQ217" s="5"/>
    </row>
    <row r="218" ht="15.75" customHeight="1">
      <c r="C218" s="4"/>
      <c r="D218" s="333"/>
      <c r="E218" s="5"/>
      <c r="F218" s="5"/>
      <c r="G218" s="5"/>
      <c r="H218" s="112"/>
      <c r="L218" s="4"/>
      <c r="M218" s="5"/>
      <c r="N218" s="112"/>
      <c r="R218" s="333"/>
      <c r="S218" s="5"/>
      <c r="T218" s="112"/>
      <c r="X218" s="333"/>
      <c r="Y218" s="5"/>
      <c r="AD218" s="333"/>
      <c r="AE218" s="5"/>
      <c r="AJ218" s="333"/>
      <c r="AK218" s="5"/>
      <c r="AP218" s="333"/>
      <c r="AQ218" s="5"/>
    </row>
    <row r="219" ht="15.75" customHeight="1">
      <c r="C219" s="4"/>
      <c r="D219" s="333"/>
      <c r="E219" s="5"/>
      <c r="F219" s="5"/>
      <c r="G219" s="5"/>
      <c r="H219" s="112"/>
      <c r="L219" s="4"/>
      <c r="M219" s="5"/>
      <c r="N219" s="112"/>
      <c r="R219" s="333"/>
      <c r="S219" s="5"/>
      <c r="T219" s="112"/>
      <c r="X219" s="333"/>
      <c r="Y219" s="5"/>
      <c r="AD219" s="333"/>
      <c r="AE219" s="5"/>
      <c r="AJ219" s="333"/>
      <c r="AK219" s="5"/>
      <c r="AP219" s="333"/>
      <c r="AQ219" s="5"/>
    </row>
    <row r="220" ht="15.75" customHeight="1">
      <c r="C220" s="4"/>
      <c r="D220" s="333"/>
      <c r="E220" s="5"/>
      <c r="F220" s="5"/>
      <c r="G220" s="5"/>
      <c r="H220" s="112"/>
      <c r="L220" s="4"/>
      <c r="M220" s="5"/>
      <c r="N220" s="112"/>
      <c r="R220" s="333"/>
      <c r="S220" s="5"/>
      <c r="T220" s="112"/>
      <c r="X220" s="333"/>
      <c r="Y220" s="5"/>
      <c r="AD220" s="333"/>
      <c r="AE220" s="5"/>
      <c r="AJ220" s="333"/>
      <c r="AK220" s="5"/>
      <c r="AP220" s="333"/>
      <c r="AQ220" s="5"/>
    </row>
    <row r="221" ht="15.75" customHeight="1">
      <c r="C221" s="4"/>
      <c r="D221" s="333"/>
      <c r="E221" s="5"/>
      <c r="F221" s="5"/>
      <c r="G221" s="5"/>
      <c r="H221" s="112"/>
      <c r="L221" s="4"/>
      <c r="M221" s="5"/>
      <c r="N221" s="112"/>
      <c r="R221" s="333"/>
      <c r="S221" s="5"/>
      <c r="T221" s="112"/>
      <c r="X221" s="333"/>
      <c r="Y221" s="5"/>
      <c r="AD221" s="333"/>
      <c r="AE221" s="5"/>
      <c r="AJ221" s="333"/>
      <c r="AK221" s="5"/>
      <c r="AP221" s="333"/>
      <c r="AQ221" s="5"/>
    </row>
    <row r="222" ht="15.75" customHeight="1">
      <c r="C222" s="4"/>
      <c r="D222" s="333"/>
      <c r="E222" s="5"/>
      <c r="F222" s="5"/>
      <c r="G222" s="5"/>
      <c r="H222" s="112"/>
      <c r="L222" s="4"/>
      <c r="M222" s="5"/>
      <c r="N222" s="112"/>
      <c r="R222" s="333"/>
      <c r="S222" s="5"/>
      <c r="T222" s="112"/>
      <c r="X222" s="333"/>
      <c r="Y222" s="5"/>
      <c r="AD222" s="333"/>
      <c r="AE222" s="5"/>
      <c r="AJ222" s="333"/>
      <c r="AK222" s="5"/>
      <c r="AP222" s="333"/>
      <c r="AQ222" s="5"/>
    </row>
    <row r="223" ht="15.75" customHeight="1">
      <c r="C223" s="4"/>
      <c r="D223" s="333"/>
      <c r="E223" s="5"/>
      <c r="F223" s="5"/>
      <c r="G223" s="5"/>
      <c r="H223" s="112"/>
      <c r="L223" s="4"/>
      <c r="M223" s="5"/>
      <c r="N223" s="112"/>
      <c r="R223" s="333"/>
      <c r="S223" s="5"/>
      <c r="T223" s="112"/>
      <c r="X223" s="333"/>
      <c r="Y223" s="5"/>
      <c r="AD223" s="333"/>
      <c r="AE223" s="5"/>
      <c r="AJ223" s="333"/>
      <c r="AK223" s="5"/>
      <c r="AP223" s="333"/>
      <c r="AQ223" s="5"/>
    </row>
    <row r="224" ht="15.75" customHeight="1">
      <c r="C224" s="4"/>
      <c r="D224" s="333"/>
      <c r="E224" s="5"/>
      <c r="F224" s="5"/>
      <c r="G224" s="5"/>
      <c r="H224" s="112"/>
      <c r="L224" s="4"/>
      <c r="M224" s="5"/>
      <c r="N224" s="112"/>
      <c r="R224" s="333"/>
      <c r="S224" s="5"/>
      <c r="T224" s="112"/>
      <c r="X224" s="333"/>
      <c r="Y224" s="5"/>
      <c r="AD224" s="333"/>
      <c r="AE224" s="5"/>
      <c r="AJ224" s="333"/>
      <c r="AK224" s="5"/>
      <c r="AP224" s="333"/>
      <c r="AQ224" s="5"/>
    </row>
    <row r="225" ht="15.75" customHeight="1">
      <c r="C225" s="4"/>
      <c r="D225" s="333"/>
      <c r="E225" s="5"/>
      <c r="F225" s="5"/>
      <c r="G225" s="5"/>
      <c r="H225" s="112"/>
      <c r="L225" s="4"/>
      <c r="M225" s="5"/>
      <c r="N225" s="112"/>
      <c r="R225" s="333"/>
      <c r="S225" s="5"/>
      <c r="T225" s="112"/>
      <c r="X225" s="333"/>
      <c r="Y225" s="5"/>
      <c r="AD225" s="333"/>
      <c r="AE225" s="5"/>
      <c r="AJ225" s="333"/>
      <c r="AK225" s="5"/>
      <c r="AP225" s="333"/>
      <c r="AQ225" s="5"/>
    </row>
    <row r="226" ht="15.75" customHeight="1">
      <c r="C226" s="4"/>
      <c r="D226" s="333"/>
      <c r="E226" s="5"/>
      <c r="F226" s="5"/>
      <c r="G226" s="5"/>
      <c r="H226" s="112"/>
      <c r="L226" s="4"/>
      <c r="M226" s="5"/>
      <c r="N226" s="112"/>
      <c r="R226" s="333"/>
      <c r="S226" s="5"/>
      <c r="T226" s="112"/>
      <c r="X226" s="333"/>
      <c r="Y226" s="5"/>
      <c r="AD226" s="333"/>
      <c r="AE226" s="5"/>
      <c r="AJ226" s="333"/>
      <c r="AK226" s="5"/>
      <c r="AP226" s="333"/>
      <c r="AQ226" s="5"/>
    </row>
    <row r="227" ht="15.75" customHeight="1">
      <c r="C227" s="4"/>
      <c r="D227" s="333"/>
      <c r="E227" s="5"/>
      <c r="F227" s="5"/>
      <c r="G227" s="5"/>
      <c r="H227" s="112"/>
      <c r="L227" s="4"/>
      <c r="M227" s="5"/>
      <c r="N227" s="112"/>
      <c r="R227" s="333"/>
      <c r="S227" s="5"/>
      <c r="T227" s="112"/>
      <c r="X227" s="333"/>
      <c r="Y227" s="5"/>
      <c r="AD227" s="333"/>
      <c r="AE227" s="5"/>
      <c r="AJ227" s="333"/>
      <c r="AK227" s="5"/>
      <c r="AP227" s="333"/>
      <c r="AQ227" s="5"/>
    </row>
    <row r="228" ht="15.75" customHeight="1">
      <c r="C228" s="4"/>
      <c r="D228" s="333"/>
      <c r="E228" s="5"/>
      <c r="F228" s="5"/>
      <c r="G228" s="5"/>
      <c r="H228" s="112"/>
      <c r="L228" s="4"/>
      <c r="M228" s="5"/>
      <c r="N228" s="112"/>
      <c r="R228" s="333"/>
      <c r="S228" s="5"/>
      <c r="T228" s="112"/>
      <c r="X228" s="333"/>
      <c r="Y228" s="5"/>
      <c r="AD228" s="333"/>
      <c r="AE228" s="5"/>
      <c r="AJ228" s="333"/>
      <c r="AK228" s="5"/>
      <c r="AP228" s="333"/>
      <c r="AQ228" s="5"/>
    </row>
    <row r="229" ht="15.75" customHeight="1">
      <c r="C229" s="4"/>
      <c r="D229" s="333"/>
      <c r="E229" s="5"/>
      <c r="F229" s="5"/>
      <c r="G229" s="5"/>
      <c r="H229" s="112"/>
      <c r="L229" s="4"/>
      <c r="M229" s="5"/>
      <c r="N229" s="112"/>
      <c r="R229" s="333"/>
      <c r="S229" s="5"/>
      <c r="T229" s="112"/>
      <c r="X229" s="333"/>
      <c r="Y229" s="5"/>
      <c r="AD229" s="333"/>
      <c r="AE229" s="5"/>
      <c r="AJ229" s="333"/>
      <c r="AK229" s="5"/>
      <c r="AP229" s="333"/>
      <c r="AQ229" s="5"/>
    </row>
    <row r="230" ht="15.75" customHeight="1">
      <c r="C230" s="4"/>
      <c r="D230" s="333"/>
      <c r="E230" s="5"/>
      <c r="F230" s="5"/>
      <c r="G230" s="5"/>
      <c r="H230" s="112"/>
      <c r="L230" s="4"/>
      <c r="M230" s="5"/>
      <c r="N230" s="112"/>
      <c r="R230" s="333"/>
      <c r="S230" s="5"/>
      <c r="T230" s="112"/>
      <c r="X230" s="333"/>
      <c r="Y230" s="5"/>
      <c r="AD230" s="333"/>
      <c r="AE230" s="5"/>
      <c r="AJ230" s="333"/>
      <c r="AK230" s="5"/>
      <c r="AP230" s="333"/>
      <c r="AQ230" s="5"/>
    </row>
    <row r="231" ht="15.75" customHeight="1">
      <c r="C231" s="4"/>
      <c r="D231" s="333"/>
      <c r="E231" s="5"/>
      <c r="F231" s="5"/>
      <c r="G231" s="5"/>
      <c r="H231" s="112"/>
      <c r="L231" s="4"/>
      <c r="M231" s="5"/>
      <c r="N231" s="112"/>
      <c r="R231" s="333"/>
      <c r="S231" s="5"/>
      <c r="T231" s="112"/>
      <c r="X231" s="333"/>
      <c r="Y231" s="5"/>
      <c r="AD231" s="333"/>
      <c r="AE231" s="5"/>
      <c r="AJ231" s="333"/>
      <c r="AK231" s="5"/>
      <c r="AP231" s="333"/>
      <c r="AQ231" s="5"/>
    </row>
    <row r="232" ht="15.75" customHeight="1">
      <c r="C232" s="4"/>
      <c r="D232" s="333"/>
      <c r="E232" s="5"/>
      <c r="F232" s="5"/>
      <c r="G232" s="5"/>
      <c r="H232" s="112"/>
      <c r="L232" s="4"/>
      <c r="M232" s="5"/>
      <c r="N232" s="112"/>
      <c r="R232" s="333"/>
      <c r="S232" s="5"/>
      <c r="T232" s="112"/>
      <c r="X232" s="333"/>
      <c r="Y232" s="5"/>
      <c r="AD232" s="333"/>
      <c r="AE232" s="5"/>
      <c r="AJ232" s="333"/>
      <c r="AK232" s="5"/>
      <c r="AP232" s="333"/>
      <c r="AQ232" s="5"/>
    </row>
    <row r="233" ht="15.75" customHeight="1">
      <c r="C233" s="4"/>
      <c r="D233" s="333"/>
      <c r="E233" s="5"/>
      <c r="F233" s="5"/>
      <c r="G233" s="5"/>
      <c r="H233" s="112"/>
      <c r="L233" s="4"/>
      <c r="M233" s="5"/>
      <c r="N233" s="112"/>
      <c r="R233" s="333"/>
      <c r="S233" s="5"/>
      <c r="T233" s="112"/>
      <c r="X233" s="333"/>
      <c r="Y233" s="5"/>
      <c r="AD233" s="333"/>
      <c r="AE233" s="5"/>
      <c r="AJ233" s="333"/>
      <c r="AK233" s="5"/>
      <c r="AP233" s="333"/>
      <c r="AQ233" s="5"/>
    </row>
    <row r="234" ht="15.75" customHeight="1">
      <c r="C234" s="4"/>
      <c r="D234" s="333"/>
      <c r="E234" s="5"/>
      <c r="F234" s="5"/>
      <c r="G234" s="5"/>
      <c r="H234" s="112"/>
      <c r="L234" s="4"/>
      <c r="M234" s="5"/>
      <c r="N234" s="112"/>
      <c r="R234" s="333"/>
      <c r="S234" s="5"/>
      <c r="T234" s="112"/>
      <c r="X234" s="333"/>
      <c r="Y234" s="5"/>
      <c r="AD234" s="333"/>
      <c r="AE234" s="5"/>
      <c r="AJ234" s="333"/>
      <c r="AK234" s="5"/>
      <c r="AP234" s="333"/>
      <c r="AQ234" s="5"/>
    </row>
    <row r="235" ht="15.75" customHeight="1">
      <c r="C235" s="4"/>
      <c r="D235" s="333"/>
      <c r="E235" s="5"/>
      <c r="F235" s="5"/>
      <c r="G235" s="5"/>
      <c r="H235" s="112"/>
      <c r="L235" s="4"/>
      <c r="M235" s="5"/>
      <c r="N235" s="112"/>
      <c r="R235" s="333"/>
      <c r="S235" s="5"/>
      <c r="T235" s="112"/>
      <c r="X235" s="333"/>
      <c r="Y235" s="5"/>
      <c r="AD235" s="333"/>
      <c r="AE235" s="5"/>
      <c r="AJ235" s="333"/>
      <c r="AK235" s="5"/>
      <c r="AP235" s="333"/>
      <c r="AQ235" s="5"/>
    </row>
    <row r="236" ht="15.75" customHeight="1">
      <c r="C236" s="4"/>
      <c r="D236" s="333"/>
      <c r="E236" s="5"/>
      <c r="F236" s="5"/>
      <c r="G236" s="5"/>
      <c r="H236" s="112"/>
      <c r="L236" s="4"/>
      <c r="M236" s="5"/>
      <c r="N236" s="112"/>
      <c r="R236" s="333"/>
      <c r="S236" s="5"/>
      <c r="T236" s="112"/>
      <c r="X236" s="333"/>
      <c r="Y236" s="5"/>
      <c r="AD236" s="333"/>
      <c r="AE236" s="5"/>
      <c r="AJ236" s="333"/>
      <c r="AK236" s="5"/>
      <c r="AP236" s="333"/>
      <c r="AQ236" s="5"/>
    </row>
    <row r="237" ht="15.75" customHeight="1">
      <c r="C237" s="4"/>
      <c r="D237" s="333"/>
      <c r="E237" s="5"/>
      <c r="F237" s="5"/>
      <c r="G237" s="5"/>
      <c r="H237" s="112"/>
      <c r="L237" s="4"/>
      <c r="M237" s="5"/>
      <c r="N237" s="112"/>
      <c r="R237" s="333"/>
      <c r="S237" s="5"/>
      <c r="T237" s="112"/>
      <c r="X237" s="333"/>
      <c r="Y237" s="5"/>
      <c r="AD237" s="333"/>
      <c r="AE237" s="5"/>
      <c r="AJ237" s="333"/>
      <c r="AK237" s="5"/>
      <c r="AP237" s="333"/>
      <c r="AQ237" s="5"/>
    </row>
    <row r="238" ht="15.75" customHeight="1">
      <c r="C238" s="4"/>
      <c r="D238" s="333"/>
      <c r="E238" s="5"/>
      <c r="F238" s="5"/>
      <c r="G238" s="5"/>
      <c r="H238" s="112"/>
      <c r="L238" s="4"/>
      <c r="M238" s="5"/>
      <c r="N238" s="112"/>
      <c r="R238" s="333"/>
      <c r="S238" s="5"/>
      <c r="T238" s="112"/>
      <c r="X238" s="333"/>
      <c r="Y238" s="5"/>
      <c r="AD238" s="333"/>
      <c r="AE238" s="5"/>
      <c r="AJ238" s="333"/>
      <c r="AK238" s="5"/>
      <c r="AP238" s="333"/>
      <c r="AQ238" s="5"/>
    </row>
    <row r="239" ht="15.75" customHeight="1">
      <c r="C239" s="4"/>
      <c r="D239" s="333"/>
      <c r="E239" s="5"/>
      <c r="F239" s="5"/>
      <c r="G239" s="5"/>
      <c r="H239" s="112"/>
      <c r="L239" s="4"/>
      <c r="M239" s="5"/>
      <c r="N239" s="112"/>
      <c r="R239" s="333"/>
      <c r="S239" s="5"/>
      <c r="T239" s="112"/>
      <c r="X239" s="333"/>
      <c r="Y239" s="5"/>
      <c r="AD239" s="333"/>
      <c r="AE239" s="5"/>
      <c r="AJ239" s="333"/>
      <c r="AK239" s="5"/>
      <c r="AP239" s="333"/>
      <c r="AQ239" s="5"/>
    </row>
    <row r="240" ht="15.75" customHeight="1">
      <c r="C240" s="4"/>
      <c r="D240" s="333"/>
      <c r="E240" s="5"/>
      <c r="F240" s="5"/>
      <c r="G240" s="5"/>
      <c r="H240" s="112"/>
      <c r="L240" s="4"/>
      <c r="M240" s="5"/>
      <c r="N240" s="112"/>
      <c r="R240" s="333"/>
      <c r="S240" s="5"/>
      <c r="T240" s="112"/>
      <c r="X240" s="333"/>
      <c r="Y240" s="5"/>
      <c r="AD240" s="333"/>
      <c r="AE240" s="5"/>
      <c r="AJ240" s="333"/>
      <c r="AK240" s="5"/>
      <c r="AP240" s="333"/>
      <c r="AQ240" s="5"/>
    </row>
    <row r="241" ht="15.75" customHeight="1">
      <c r="C241" s="4"/>
      <c r="D241" s="333"/>
      <c r="E241" s="5"/>
      <c r="F241" s="5"/>
      <c r="G241" s="5"/>
      <c r="H241" s="112"/>
      <c r="L241" s="4"/>
      <c r="M241" s="5"/>
      <c r="N241" s="112"/>
      <c r="R241" s="333"/>
      <c r="S241" s="5"/>
      <c r="T241" s="112"/>
      <c r="X241" s="333"/>
      <c r="Y241" s="5"/>
      <c r="AD241" s="333"/>
      <c r="AE241" s="5"/>
      <c r="AJ241" s="333"/>
      <c r="AK241" s="5"/>
      <c r="AP241" s="333"/>
      <c r="AQ241" s="5"/>
    </row>
    <row r="242" ht="15.75" customHeight="1">
      <c r="C242" s="4"/>
      <c r="D242" s="333"/>
      <c r="E242" s="5"/>
      <c r="F242" s="5"/>
      <c r="G242" s="5"/>
      <c r="H242" s="112"/>
      <c r="L242" s="4"/>
      <c r="M242" s="5"/>
      <c r="N242" s="112"/>
      <c r="R242" s="333"/>
      <c r="S242" s="5"/>
      <c r="T242" s="112"/>
      <c r="X242" s="333"/>
      <c r="Y242" s="5"/>
      <c r="AD242" s="333"/>
      <c r="AE242" s="5"/>
      <c r="AJ242" s="333"/>
      <c r="AK242" s="5"/>
      <c r="AP242" s="333"/>
      <c r="AQ242" s="5"/>
    </row>
    <row r="243" ht="15.75" customHeight="1">
      <c r="C243" s="4"/>
      <c r="D243" s="333"/>
      <c r="E243" s="5"/>
      <c r="F243" s="5"/>
      <c r="G243" s="5"/>
      <c r="H243" s="112"/>
      <c r="L243" s="4"/>
      <c r="M243" s="5"/>
      <c r="N243" s="112"/>
      <c r="R243" s="333"/>
      <c r="S243" s="5"/>
      <c r="T243" s="112"/>
      <c r="X243" s="333"/>
      <c r="Y243" s="5"/>
      <c r="AD243" s="333"/>
      <c r="AE243" s="5"/>
      <c r="AJ243" s="333"/>
      <c r="AK243" s="5"/>
      <c r="AP243" s="333"/>
      <c r="AQ243" s="5"/>
    </row>
    <row r="244" ht="15.75" customHeight="1">
      <c r="C244" s="4"/>
      <c r="D244" s="333"/>
      <c r="E244" s="5"/>
      <c r="F244" s="5"/>
      <c r="G244" s="5"/>
      <c r="H244" s="112"/>
      <c r="L244" s="4"/>
      <c r="M244" s="5"/>
      <c r="N244" s="112"/>
      <c r="R244" s="333"/>
      <c r="S244" s="5"/>
      <c r="T244" s="112"/>
      <c r="X244" s="333"/>
      <c r="Y244" s="5"/>
      <c r="AD244" s="333"/>
      <c r="AE244" s="5"/>
      <c r="AJ244" s="333"/>
      <c r="AK244" s="5"/>
      <c r="AP244" s="333"/>
      <c r="AQ244" s="5"/>
    </row>
    <row r="245" ht="15.75" customHeight="1">
      <c r="C245" s="4"/>
      <c r="D245" s="333"/>
      <c r="E245" s="5"/>
      <c r="F245" s="5"/>
      <c r="G245" s="5"/>
      <c r="H245" s="112"/>
      <c r="L245" s="4"/>
      <c r="M245" s="5"/>
      <c r="N245" s="112"/>
      <c r="R245" s="333"/>
      <c r="S245" s="5"/>
      <c r="T245" s="112"/>
      <c r="X245" s="333"/>
      <c r="Y245" s="5"/>
      <c r="AD245" s="333"/>
      <c r="AE245" s="5"/>
      <c r="AJ245" s="333"/>
      <c r="AK245" s="5"/>
      <c r="AP245" s="333"/>
      <c r="AQ245" s="5"/>
    </row>
    <row r="246" ht="15.75" customHeight="1">
      <c r="C246" s="4"/>
      <c r="D246" s="333"/>
      <c r="E246" s="5"/>
      <c r="F246" s="5"/>
      <c r="G246" s="5"/>
      <c r="H246" s="112"/>
      <c r="L246" s="4"/>
      <c r="M246" s="5"/>
      <c r="N246" s="112"/>
      <c r="R246" s="333"/>
      <c r="S246" s="5"/>
      <c r="T246" s="112"/>
      <c r="X246" s="333"/>
      <c r="Y246" s="5"/>
      <c r="AD246" s="333"/>
      <c r="AE246" s="5"/>
      <c r="AJ246" s="333"/>
      <c r="AK246" s="5"/>
      <c r="AP246" s="333"/>
      <c r="AQ246" s="5"/>
    </row>
    <row r="247" ht="15.75" customHeight="1">
      <c r="C247" s="4"/>
      <c r="D247" s="333"/>
      <c r="E247" s="5"/>
      <c r="F247" s="5"/>
      <c r="G247" s="5"/>
      <c r="H247" s="112"/>
      <c r="L247" s="4"/>
      <c r="M247" s="5"/>
      <c r="N247" s="112"/>
      <c r="R247" s="333"/>
      <c r="S247" s="5"/>
      <c r="T247" s="112"/>
      <c r="X247" s="333"/>
      <c r="Y247" s="5"/>
      <c r="AD247" s="333"/>
      <c r="AE247" s="5"/>
      <c r="AJ247" s="333"/>
      <c r="AK247" s="5"/>
      <c r="AP247" s="333"/>
      <c r="AQ247" s="5"/>
    </row>
    <row r="248" ht="15.75" customHeight="1">
      <c r="C248" s="4"/>
      <c r="D248" s="333"/>
      <c r="E248" s="5"/>
      <c r="F248" s="5"/>
      <c r="G248" s="5"/>
      <c r="H248" s="112"/>
      <c r="L248" s="4"/>
      <c r="M248" s="5"/>
      <c r="N248" s="112"/>
      <c r="R248" s="333"/>
      <c r="S248" s="5"/>
      <c r="T248" s="112"/>
      <c r="X248" s="333"/>
      <c r="Y248" s="5"/>
      <c r="AD248" s="333"/>
      <c r="AE248" s="5"/>
      <c r="AJ248" s="333"/>
      <c r="AK248" s="5"/>
      <c r="AP248" s="333"/>
      <c r="AQ248" s="5"/>
    </row>
    <row r="249" ht="15.75" customHeight="1">
      <c r="C249" s="4"/>
      <c r="D249" s="333"/>
      <c r="E249" s="5"/>
      <c r="F249" s="5"/>
      <c r="G249" s="5"/>
      <c r="H249" s="112"/>
      <c r="L249" s="4"/>
      <c r="M249" s="5"/>
      <c r="N249" s="112"/>
      <c r="R249" s="333"/>
      <c r="S249" s="5"/>
      <c r="T249" s="112"/>
      <c r="X249" s="333"/>
      <c r="Y249" s="5"/>
      <c r="AD249" s="333"/>
      <c r="AE249" s="5"/>
      <c r="AJ249" s="333"/>
      <c r="AK249" s="5"/>
      <c r="AP249" s="333"/>
      <c r="AQ249" s="5"/>
    </row>
    <row r="250" ht="15.75" customHeight="1">
      <c r="C250" s="4"/>
      <c r="D250" s="333"/>
      <c r="E250" s="5"/>
      <c r="F250" s="5"/>
      <c r="G250" s="5"/>
      <c r="H250" s="112"/>
      <c r="L250" s="4"/>
      <c r="M250" s="5"/>
      <c r="N250" s="112"/>
      <c r="R250" s="333"/>
      <c r="S250" s="5"/>
      <c r="T250" s="112"/>
      <c r="X250" s="333"/>
      <c r="Y250" s="5"/>
      <c r="AD250" s="333"/>
      <c r="AE250" s="5"/>
      <c r="AJ250" s="333"/>
      <c r="AK250" s="5"/>
      <c r="AP250" s="333"/>
      <c r="AQ250" s="5"/>
    </row>
    <row r="251" ht="15.75" customHeight="1">
      <c r="C251" s="4"/>
      <c r="D251" s="333"/>
      <c r="E251" s="5"/>
      <c r="F251" s="5"/>
      <c r="G251" s="5"/>
      <c r="H251" s="112"/>
      <c r="L251" s="4"/>
      <c r="M251" s="5"/>
      <c r="N251" s="112"/>
      <c r="R251" s="333"/>
      <c r="S251" s="5"/>
      <c r="T251" s="112"/>
      <c r="X251" s="333"/>
      <c r="Y251" s="5"/>
      <c r="AD251" s="333"/>
      <c r="AE251" s="5"/>
      <c r="AJ251" s="333"/>
      <c r="AK251" s="5"/>
      <c r="AP251" s="333"/>
      <c r="AQ251" s="5"/>
    </row>
    <row r="252" ht="15.75" customHeight="1">
      <c r="C252" s="4"/>
      <c r="D252" s="333"/>
      <c r="E252" s="5"/>
      <c r="F252" s="5"/>
      <c r="G252" s="5"/>
      <c r="H252" s="112"/>
      <c r="L252" s="4"/>
      <c r="M252" s="5"/>
      <c r="N252" s="112"/>
      <c r="R252" s="333"/>
      <c r="S252" s="5"/>
      <c r="T252" s="112"/>
      <c r="X252" s="333"/>
      <c r="Y252" s="5"/>
      <c r="AD252" s="333"/>
      <c r="AE252" s="5"/>
      <c r="AJ252" s="333"/>
      <c r="AK252" s="5"/>
      <c r="AP252" s="333"/>
      <c r="AQ252" s="5"/>
    </row>
    <row r="253" ht="15.75" customHeight="1">
      <c r="C253" s="4"/>
      <c r="D253" s="333"/>
      <c r="E253" s="5"/>
      <c r="F253" s="5"/>
      <c r="G253" s="5"/>
      <c r="H253" s="112"/>
      <c r="L253" s="4"/>
      <c r="M253" s="5"/>
      <c r="N253" s="112"/>
      <c r="R253" s="333"/>
      <c r="S253" s="5"/>
      <c r="T253" s="112"/>
      <c r="X253" s="333"/>
      <c r="Y253" s="5"/>
      <c r="AD253" s="333"/>
      <c r="AE253" s="5"/>
      <c r="AJ253" s="333"/>
      <c r="AK253" s="5"/>
      <c r="AP253" s="333"/>
      <c r="AQ253" s="5"/>
    </row>
    <row r="254" ht="15.75" customHeight="1">
      <c r="C254" s="4"/>
      <c r="D254" s="333"/>
      <c r="E254" s="5"/>
      <c r="F254" s="5"/>
      <c r="G254" s="5"/>
      <c r="H254" s="112"/>
      <c r="L254" s="4"/>
      <c r="M254" s="5"/>
      <c r="N254" s="112"/>
      <c r="R254" s="333"/>
      <c r="S254" s="5"/>
      <c r="T254" s="112"/>
      <c r="X254" s="333"/>
      <c r="Y254" s="5"/>
      <c r="AD254" s="333"/>
      <c r="AE254" s="5"/>
      <c r="AJ254" s="333"/>
      <c r="AK254" s="5"/>
      <c r="AP254" s="333"/>
      <c r="AQ254" s="5"/>
    </row>
    <row r="255" ht="15.75" customHeight="1">
      <c r="C255" s="4"/>
      <c r="D255" s="333"/>
      <c r="E255" s="5"/>
      <c r="F255" s="5"/>
      <c r="G255" s="5"/>
      <c r="H255" s="112"/>
      <c r="L255" s="4"/>
      <c r="M255" s="5"/>
      <c r="N255" s="112"/>
      <c r="R255" s="333"/>
      <c r="S255" s="5"/>
      <c r="T255" s="112"/>
      <c r="X255" s="333"/>
      <c r="Y255" s="5"/>
      <c r="AD255" s="333"/>
      <c r="AE255" s="5"/>
      <c r="AJ255" s="333"/>
      <c r="AK255" s="5"/>
      <c r="AP255" s="333"/>
      <c r="AQ255" s="5"/>
    </row>
    <row r="256" ht="15.75" customHeight="1">
      <c r="C256" s="4"/>
      <c r="D256" s="333"/>
      <c r="E256" s="5"/>
      <c r="F256" s="5"/>
      <c r="G256" s="5"/>
      <c r="H256" s="112"/>
      <c r="L256" s="4"/>
      <c r="M256" s="5"/>
      <c r="N256" s="112"/>
      <c r="R256" s="333"/>
      <c r="S256" s="5"/>
      <c r="T256" s="112"/>
      <c r="X256" s="333"/>
      <c r="Y256" s="5"/>
      <c r="AD256" s="333"/>
      <c r="AE256" s="5"/>
      <c r="AJ256" s="333"/>
      <c r="AK256" s="5"/>
      <c r="AP256" s="333"/>
      <c r="AQ256" s="5"/>
    </row>
    <row r="257" ht="15.75" customHeight="1">
      <c r="C257" s="4"/>
      <c r="D257" s="333"/>
      <c r="E257" s="5"/>
      <c r="F257" s="5"/>
      <c r="G257" s="5"/>
      <c r="H257" s="112"/>
      <c r="L257" s="4"/>
      <c r="M257" s="5"/>
      <c r="N257" s="112"/>
      <c r="R257" s="333"/>
      <c r="S257" s="5"/>
      <c r="T257" s="112"/>
      <c r="X257" s="333"/>
      <c r="Y257" s="5"/>
      <c r="AD257" s="333"/>
      <c r="AE257" s="5"/>
      <c r="AJ257" s="333"/>
      <c r="AK257" s="5"/>
      <c r="AP257" s="333"/>
      <c r="AQ257" s="5"/>
    </row>
    <row r="258" ht="15.75" customHeight="1">
      <c r="C258" s="4"/>
      <c r="D258" s="333"/>
      <c r="E258" s="5"/>
      <c r="F258" s="5"/>
      <c r="G258" s="5"/>
      <c r="H258" s="112"/>
      <c r="L258" s="4"/>
      <c r="M258" s="5"/>
      <c r="N258" s="112"/>
      <c r="R258" s="333"/>
      <c r="S258" s="5"/>
      <c r="T258" s="112"/>
      <c r="X258" s="333"/>
      <c r="Y258" s="5"/>
      <c r="AD258" s="333"/>
      <c r="AE258" s="5"/>
      <c r="AJ258" s="333"/>
      <c r="AK258" s="5"/>
      <c r="AP258" s="333"/>
      <c r="AQ258" s="5"/>
    </row>
    <row r="259" ht="15.75" customHeight="1">
      <c r="C259" s="4"/>
      <c r="D259" s="333"/>
      <c r="E259" s="5"/>
      <c r="F259" s="5"/>
      <c r="G259" s="5"/>
      <c r="H259" s="112"/>
      <c r="L259" s="4"/>
      <c r="M259" s="5"/>
      <c r="N259" s="112"/>
      <c r="R259" s="333"/>
      <c r="S259" s="5"/>
      <c r="T259" s="112"/>
      <c r="X259" s="333"/>
      <c r="Y259" s="5"/>
      <c r="AD259" s="333"/>
      <c r="AE259" s="5"/>
      <c r="AJ259" s="333"/>
      <c r="AK259" s="5"/>
      <c r="AP259" s="333"/>
      <c r="AQ259" s="5"/>
    </row>
    <row r="260" ht="15.75" customHeight="1">
      <c r="C260" s="4"/>
      <c r="D260" s="333"/>
      <c r="E260" s="5"/>
      <c r="F260" s="5"/>
      <c r="G260" s="5"/>
      <c r="H260" s="112"/>
      <c r="L260" s="4"/>
      <c r="M260" s="5"/>
      <c r="N260" s="112"/>
      <c r="R260" s="333"/>
      <c r="S260" s="5"/>
      <c r="T260" s="112"/>
      <c r="X260" s="333"/>
      <c r="Y260" s="5"/>
      <c r="AD260" s="333"/>
      <c r="AE260" s="5"/>
      <c r="AJ260" s="333"/>
      <c r="AK260" s="5"/>
      <c r="AP260" s="333"/>
      <c r="AQ260" s="5"/>
    </row>
    <row r="261" ht="15.75" customHeight="1">
      <c r="C261" s="4"/>
      <c r="D261" s="333"/>
      <c r="E261" s="5"/>
      <c r="F261" s="5"/>
      <c r="G261" s="5"/>
      <c r="H261" s="112"/>
      <c r="L261" s="4"/>
      <c r="M261" s="5"/>
      <c r="N261" s="112"/>
      <c r="R261" s="333"/>
      <c r="S261" s="5"/>
      <c r="T261" s="112"/>
      <c r="X261" s="333"/>
      <c r="Y261" s="5"/>
      <c r="AD261" s="333"/>
      <c r="AE261" s="5"/>
      <c r="AJ261" s="333"/>
      <c r="AK261" s="5"/>
      <c r="AP261" s="333"/>
      <c r="AQ261" s="5"/>
    </row>
    <row r="262" ht="15.75" customHeight="1">
      <c r="C262" s="4"/>
      <c r="D262" s="333"/>
      <c r="E262" s="5"/>
      <c r="F262" s="5"/>
      <c r="G262" s="5"/>
      <c r="H262" s="112"/>
      <c r="L262" s="4"/>
      <c r="M262" s="5"/>
      <c r="N262" s="112"/>
      <c r="R262" s="333"/>
      <c r="S262" s="5"/>
      <c r="T262" s="112"/>
      <c r="X262" s="333"/>
      <c r="Y262" s="5"/>
      <c r="AD262" s="333"/>
      <c r="AE262" s="5"/>
      <c r="AJ262" s="333"/>
      <c r="AK262" s="5"/>
      <c r="AP262" s="333"/>
      <c r="AQ262" s="5"/>
    </row>
    <row r="263" ht="15.75" customHeight="1">
      <c r="C263" s="4"/>
      <c r="D263" s="333"/>
      <c r="E263" s="5"/>
      <c r="F263" s="5"/>
      <c r="G263" s="5"/>
      <c r="H263" s="112"/>
      <c r="L263" s="4"/>
      <c r="M263" s="5"/>
      <c r="N263" s="112"/>
      <c r="R263" s="333"/>
      <c r="S263" s="5"/>
      <c r="T263" s="112"/>
      <c r="X263" s="333"/>
      <c r="Y263" s="5"/>
      <c r="AD263" s="333"/>
      <c r="AE263" s="5"/>
      <c r="AJ263" s="333"/>
      <c r="AK263" s="5"/>
      <c r="AP263" s="333"/>
      <c r="AQ263" s="5"/>
    </row>
    <row r="264" ht="15.75" customHeight="1">
      <c r="C264" s="4"/>
      <c r="D264" s="333"/>
      <c r="E264" s="5"/>
      <c r="F264" s="5"/>
      <c r="G264" s="5"/>
      <c r="H264" s="112"/>
      <c r="L264" s="4"/>
      <c r="M264" s="5"/>
      <c r="N264" s="112"/>
      <c r="R264" s="333"/>
      <c r="S264" s="5"/>
      <c r="T264" s="112"/>
      <c r="X264" s="333"/>
      <c r="Y264" s="5"/>
      <c r="AD264" s="333"/>
      <c r="AE264" s="5"/>
      <c r="AJ264" s="333"/>
      <c r="AK264" s="5"/>
      <c r="AP264" s="333"/>
      <c r="AQ264" s="5"/>
    </row>
    <row r="265" ht="15.75" customHeight="1">
      <c r="C265" s="4"/>
      <c r="D265" s="333"/>
      <c r="E265" s="5"/>
      <c r="F265" s="5"/>
      <c r="G265" s="5"/>
      <c r="H265" s="112"/>
      <c r="L265" s="4"/>
      <c r="M265" s="5"/>
      <c r="N265" s="112"/>
      <c r="R265" s="333"/>
      <c r="S265" s="5"/>
      <c r="T265" s="112"/>
      <c r="X265" s="333"/>
      <c r="Y265" s="5"/>
      <c r="AD265" s="333"/>
      <c r="AE265" s="5"/>
      <c r="AJ265" s="333"/>
      <c r="AK265" s="5"/>
      <c r="AP265" s="333"/>
      <c r="AQ265" s="5"/>
    </row>
    <row r="266" ht="15.75" customHeight="1">
      <c r="C266" s="4"/>
      <c r="D266" s="333"/>
      <c r="E266" s="5"/>
      <c r="F266" s="5"/>
      <c r="G266" s="5"/>
      <c r="H266" s="112"/>
      <c r="L266" s="4"/>
      <c r="M266" s="5"/>
      <c r="N266" s="112"/>
      <c r="R266" s="333"/>
      <c r="S266" s="5"/>
      <c r="T266" s="112"/>
      <c r="X266" s="333"/>
      <c r="Y266" s="5"/>
      <c r="AD266" s="333"/>
      <c r="AE266" s="5"/>
      <c r="AJ266" s="333"/>
      <c r="AK266" s="5"/>
      <c r="AP266" s="333"/>
      <c r="AQ266" s="5"/>
    </row>
    <row r="267" ht="15.75" customHeight="1">
      <c r="C267" s="4"/>
      <c r="D267" s="333"/>
      <c r="E267" s="5"/>
      <c r="F267" s="5"/>
      <c r="G267" s="5"/>
      <c r="H267" s="112"/>
      <c r="L267" s="4"/>
      <c r="M267" s="5"/>
      <c r="N267" s="112"/>
      <c r="R267" s="333"/>
      <c r="S267" s="5"/>
      <c r="T267" s="112"/>
      <c r="X267" s="333"/>
      <c r="Y267" s="5"/>
      <c r="AD267" s="333"/>
      <c r="AE267" s="5"/>
      <c r="AJ267" s="333"/>
      <c r="AK267" s="5"/>
      <c r="AP267" s="333"/>
      <c r="AQ267" s="5"/>
    </row>
    <row r="268" ht="15.75" customHeight="1">
      <c r="C268" s="4"/>
      <c r="D268" s="333"/>
      <c r="E268" s="5"/>
      <c r="F268" s="5"/>
      <c r="G268" s="5"/>
      <c r="H268" s="112"/>
      <c r="L268" s="4"/>
      <c r="M268" s="5"/>
      <c r="N268" s="112"/>
      <c r="R268" s="333"/>
      <c r="S268" s="5"/>
      <c r="T268" s="112"/>
      <c r="X268" s="333"/>
      <c r="Y268" s="5"/>
      <c r="AD268" s="333"/>
      <c r="AE268" s="5"/>
      <c r="AJ268" s="333"/>
      <c r="AK268" s="5"/>
      <c r="AP268" s="333"/>
      <c r="AQ268" s="5"/>
    </row>
    <row r="269" ht="15.75" customHeight="1">
      <c r="C269" s="4"/>
      <c r="D269" s="333"/>
      <c r="E269" s="5"/>
      <c r="F269" s="5"/>
      <c r="G269" s="5"/>
      <c r="H269" s="112"/>
      <c r="L269" s="4"/>
      <c r="M269" s="5"/>
      <c r="N269" s="112"/>
      <c r="R269" s="333"/>
      <c r="S269" s="5"/>
      <c r="T269" s="112"/>
      <c r="X269" s="333"/>
      <c r="Y269" s="5"/>
      <c r="AD269" s="333"/>
      <c r="AE269" s="5"/>
      <c r="AJ269" s="333"/>
      <c r="AK269" s="5"/>
      <c r="AP269" s="333"/>
      <c r="AQ269" s="5"/>
    </row>
    <row r="270" ht="15.75" customHeight="1">
      <c r="C270" s="4"/>
      <c r="D270" s="333"/>
      <c r="E270" s="5"/>
      <c r="F270" s="5"/>
      <c r="G270" s="5"/>
      <c r="H270" s="112"/>
      <c r="L270" s="4"/>
      <c r="M270" s="5"/>
      <c r="N270" s="112"/>
      <c r="R270" s="333"/>
      <c r="S270" s="5"/>
      <c r="T270" s="112"/>
      <c r="X270" s="333"/>
      <c r="Y270" s="5"/>
      <c r="AD270" s="333"/>
      <c r="AE270" s="5"/>
      <c r="AJ270" s="333"/>
      <c r="AK270" s="5"/>
      <c r="AP270" s="333"/>
      <c r="AQ270" s="5"/>
    </row>
    <row r="271" ht="15.75" customHeight="1">
      <c r="C271" s="4"/>
      <c r="D271" s="333"/>
      <c r="E271" s="5"/>
      <c r="F271" s="5"/>
      <c r="G271" s="5"/>
      <c r="H271" s="112"/>
      <c r="L271" s="4"/>
      <c r="M271" s="5"/>
      <c r="N271" s="112"/>
      <c r="R271" s="333"/>
      <c r="S271" s="5"/>
      <c r="T271" s="112"/>
      <c r="X271" s="333"/>
      <c r="Y271" s="5"/>
      <c r="AD271" s="333"/>
      <c r="AE271" s="5"/>
      <c r="AJ271" s="333"/>
      <c r="AK271" s="5"/>
      <c r="AP271" s="333"/>
      <c r="AQ271" s="5"/>
    </row>
    <row r="272" ht="15.75" customHeight="1">
      <c r="C272" s="4"/>
      <c r="D272" s="333"/>
      <c r="E272" s="5"/>
      <c r="F272" s="5"/>
      <c r="G272" s="5"/>
      <c r="H272" s="112"/>
      <c r="L272" s="4"/>
      <c r="M272" s="5"/>
      <c r="N272" s="112"/>
      <c r="R272" s="333"/>
      <c r="S272" s="5"/>
      <c r="T272" s="112"/>
      <c r="X272" s="333"/>
      <c r="Y272" s="5"/>
      <c r="AD272" s="333"/>
      <c r="AE272" s="5"/>
      <c r="AJ272" s="333"/>
      <c r="AK272" s="5"/>
      <c r="AP272" s="333"/>
      <c r="AQ272" s="5"/>
    </row>
    <row r="273" ht="15.75" customHeight="1">
      <c r="C273" s="4"/>
      <c r="D273" s="333"/>
      <c r="E273" s="5"/>
      <c r="F273" s="5"/>
      <c r="G273" s="5"/>
      <c r="H273" s="112"/>
      <c r="L273" s="4"/>
      <c r="M273" s="5"/>
      <c r="N273" s="112"/>
      <c r="R273" s="333"/>
      <c r="S273" s="5"/>
      <c r="T273" s="112"/>
      <c r="X273" s="333"/>
      <c r="Y273" s="5"/>
      <c r="AD273" s="333"/>
      <c r="AE273" s="5"/>
      <c r="AJ273" s="333"/>
      <c r="AK273" s="5"/>
      <c r="AP273" s="333"/>
      <c r="AQ273" s="5"/>
    </row>
    <row r="274" ht="15.75" customHeight="1">
      <c r="C274" s="4"/>
      <c r="D274" s="333"/>
      <c r="E274" s="5"/>
      <c r="F274" s="5"/>
      <c r="G274" s="5"/>
      <c r="H274" s="112"/>
      <c r="L274" s="4"/>
      <c r="M274" s="5"/>
      <c r="N274" s="112"/>
      <c r="R274" s="333"/>
      <c r="S274" s="5"/>
      <c r="T274" s="112"/>
      <c r="X274" s="333"/>
      <c r="Y274" s="5"/>
      <c r="AD274" s="333"/>
      <c r="AE274" s="5"/>
      <c r="AJ274" s="333"/>
      <c r="AK274" s="5"/>
      <c r="AP274" s="333"/>
      <c r="AQ274" s="5"/>
    </row>
    <row r="275" ht="15.75" customHeight="1">
      <c r="C275" s="4"/>
      <c r="D275" s="333"/>
      <c r="E275" s="5"/>
      <c r="F275" s="5"/>
      <c r="G275" s="5"/>
      <c r="H275" s="112"/>
      <c r="L275" s="4"/>
      <c r="M275" s="5"/>
      <c r="N275" s="112"/>
      <c r="R275" s="333"/>
      <c r="S275" s="5"/>
      <c r="T275" s="112"/>
      <c r="X275" s="333"/>
      <c r="Y275" s="5"/>
      <c r="AD275" s="333"/>
      <c r="AE275" s="5"/>
      <c r="AJ275" s="333"/>
      <c r="AK275" s="5"/>
      <c r="AP275" s="333"/>
      <c r="AQ275" s="5"/>
    </row>
    <row r="276" ht="15.75" customHeight="1">
      <c r="C276" s="4"/>
      <c r="D276" s="333"/>
      <c r="E276" s="5"/>
      <c r="F276" s="5"/>
      <c r="G276" s="5"/>
      <c r="H276" s="112"/>
      <c r="L276" s="4"/>
      <c r="M276" s="5"/>
      <c r="N276" s="112"/>
      <c r="R276" s="333"/>
      <c r="S276" s="5"/>
      <c r="T276" s="112"/>
      <c r="X276" s="333"/>
      <c r="Y276" s="5"/>
      <c r="AD276" s="333"/>
      <c r="AE276" s="5"/>
      <c r="AJ276" s="333"/>
      <c r="AK276" s="5"/>
      <c r="AP276" s="333"/>
      <c r="AQ276" s="5"/>
    </row>
    <row r="277" ht="15.75" customHeight="1">
      <c r="C277" s="4"/>
      <c r="D277" s="333"/>
      <c r="E277" s="5"/>
      <c r="F277" s="5"/>
      <c r="G277" s="5"/>
      <c r="H277" s="112"/>
      <c r="L277" s="4"/>
      <c r="M277" s="5"/>
      <c r="N277" s="112"/>
      <c r="R277" s="333"/>
      <c r="S277" s="5"/>
      <c r="T277" s="112"/>
      <c r="X277" s="333"/>
      <c r="Y277" s="5"/>
      <c r="AD277" s="333"/>
      <c r="AE277" s="5"/>
      <c r="AJ277" s="333"/>
      <c r="AK277" s="5"/>
      <c r="AP277" s="333"/>
      <c r="AQ277" s="5"/>
    </row>
    <row r="278" ht="15.75" customHeight="1">
      <c r="C278" s="4"/>
      <c r="D278" s="333"/>
      <c r="E278" s="5"/>
      <c r="F278" s="5"/>
      <c r="G278" s="5"/>
      <c r="H278" s="112"/>
      <c r="L278" s="4"/>
      <c r="M278" s="5"/>
      <c r="N278" s="112"/>
      <c r="R278" s="333"/>
      <c r="S278" s="5"/>
      <c r="T278" s="112"/>
      <c r="X278" s="333"/>
      <c r="Y278" s="5"/>
      <c r="AD278" s="333"/>
      <c r="AE278" s="5"/>
      <c r="AJ278" s="333"/>
      <c r="AK278" s="5"/>
      <c r="AP278" s="333"/>
      <c r="AQ278" s="5"/>
    </row>
    <row r="279" ht="15.75" customHeight="1">
      <c r="C279" s="4"/>
      <c r="D279" s="333"/>
      <c r="E279" s="5"/>
      <c r="F279" s="5"/>
      <c r="G279" s="5"/>
      <c r="H279" s="112"/>
      <c r="L279" s="4"/>
      <c r="M279" s="5"/>
      <c r="N279" s="112"/>
      <c r="R279" s="333"/>
      <c r="S279" s="5"/>
      <c r="T279" s="112"/>
      <c r="X279" s="333"/>
      <c r="Y279" s="5"/>
      <c r="AD279" s="333"/>
      <c r="AE279" s="5"/>
      <c r="AJ279" s="333"/>
      <c r="AK279" s="5"/>
      <c r="AP279" s="333"/>
      <c r="AQ279" s="5"/>
    </row>
    <row r="280" ht="15.75" customHeight="1">
      <c r="C280" s="4"/>
      <c r="D280" s="333"/>
      <c r="E280" s="5"/>
      <c r="F280" s="5"/>
      <c r="G280" s="5"/>
      <c r="H280" s="112"/>
      <c r="L280" s="4"/>
      <c r="M280" s="5"/>
      <c r="N280" s="112"/>
      <c r="R280" s="333"/>
      <c r="S280" s="5"/>
      <c r="T280" s="112"/>
      <c r="X280" s="333"/>
      <c r="Y280" s="5"/>
      <c r="AD280" s="333"/>
      <c r="AE280" s="5"/>
      <c r="AJ280" s="333"/>
      <c r="AK280" s="5"/>
      <c r="AP280" s="333"/>
      <c r="AQ280" s="5"/>
    </row>
    <row r="281" ht="15.75" customHeight="1">
      <c r="C281" s="4"/>
      <c r="D281" s="333"/>
      <c r="E281" s="5"/>
      <c r="F281" s="5"/>
      <c r="G281" s="5"/>
      <c r="H281" s="112"/>
      <c r="L281" s="4"/>
      <c r="M281" s="5"/>
      <c r="N281" s="112"/>
      <c r="R281" s="333"/>
      <c r="S281" s="5"/>
      <c r="T281" s="112"/>
      <c r="X281" s="333"/>
      <c r="Y281" s="5"/>
      <c r="AD281" s="333"/>
      <c r="AE281" s="5"/>
      <c r="AJ281" s="333"/>
      <c r="AK281" s="5"/>
      <c r="AP281" s="333"/>
      <c r="AQ281" s="5"/>
    </row>
    <row r="282" ht="15.75" customHeight="1">
      <c r="C282" s="4"/>
      <c r="D282" s="333"/>
      <c r="E282" s="5"/>
      <c r="F282" s="5"/>
      <c r="G282" s="5"/>
      <c r="H282" s="112"/>
      <c r="L282" s="4"/>
      <c r="M282" s="5"/>
      <c r="N282" s="112"/>
      <c r="R282" s="333"/>
      <c r="S282" s="5"/>
      <c r="T282" s="112"/>
      <c r="X282" s="333"/>
      <c r="Y282" s="5"/>
      <c r="AD282" s="333"/>
      <c r="AE282" s="5"/>
      <c r="AJ282" s="333"/>
      <c r="AK282" s="5"/>
      <c r="AP282" s="333"/>
      <c r="AQ282" s="5"/>
    </row>
    <row r="283" ht="15.75" customHeight="1">
      <c r="C283" s="4"/>
      <c r="D283" s="333"/>
      <c r="E283" s="5"/>
      <c r="F283" s="5"/>
      <c r="G283" s="5"/>
      <c r="H283" s="112"/>
      <c r="L283" s="4"/>
      <c r="M283" s="5"/>
      <c r="N283" s="112"/>
      <c r="R283" s="333"/>
      <c r="S283" s="5"/>
      <c r="T283" s="112"/>
      <c r="X283" s="333"/>
      <c r="Y283" s="5"/>
      <c r="AD283" s="333"/>
      <c r="AE283" s="5"/>
      <c r="AJ283" s="333"/>
      <c r="AK283" s="5"/>
      <c r="AP283" s="333"/>
      <c r="AQ283" s="5"/>
    </row>
    <row r="284" ht="15.75" customHeight="1">
      <c r="C284" s="4"/>
      <c r="D284" s="333"/>
      <c r="E284" s="5"/>
      <c r="F284" s="5"/>
      <c r="G284" s="5"/>
      <c r="H284" s="112"/>
      <c r="L284" s="4"/>
      <c r="M284" s="5"/>
      <c r="N284" s="112"/>
      <c r="R284" s="333"/>
      <c r="S284" s="5"/>
      <c r="T284" s="112"/>
      <c r="X284" s="333"/>
      <c r="Y284" s="5"/>
      <c r="AD284" s="333"/>
      <c r="AE284" s="5"/>
      <c r="AJ284" s="333"/>
      <c r="AK284" s="5"/>
      <c r="AP284" s="333"/>
      <c r="AQ284" s="5"/>
    </row>
    <row r="285" ht="15.75" customHeight="1">
      <c r="C285" s="4"/>
      <c r="D285" s="333"/>
      <c r="E285" s="5"/>
      <c r="F285" s="5"/>
      <c r="G285" s="5"/>
      <c r="H285" s="112"/>
      <c r="L285" s="4"/>
      <c r="M285" s="5"/>
      <c r="N285" s="112"/>
      <c r="R285" s="333"/>
      <c r="S285" s="5"/>
      <c r="T285" s="112"/>
      <c r="X285" s="333"/>
      <c r="Y285" s="5"/>
      <c r="AD285" s="333"/>
      <c r="AE285" s="5"/>
      <c r="AJ285" s="333"/>
      <c r="AK285" s="5"/>
      <c r="AP285" s="333"/>
      <c r="AQ285" s="5"/>
    </row>
    <row r="286" ht="15.75" customHeight="1">
      <c r="C286" s="4"/>
      <c r="D286" s="333"/>
      <c r="E286" s="5"/>
      <c r="F286" s="5"/>
      <c r="G286" s="5"/>
      <c r="H286" s="112"/>
      <c r="L286" s="4"/>
      <c r="M286" s="5"/>
      <c r="N286" s="112"/>
      <c r="R286" s="333"/>
      <c r="S286" s="5"/>
      <c r="T286" s="112"/>
      <c r="X286" s="333"/>
      <c r="Y286" s="5"/>
      <c r="AD286" s="333"/>
      <c r="AE286" s="5"/>
      <c r="AJ286" s="333"/>
      <c r="AK286" s="5"/>
      <c r="AP286" s="333"/>
      <c r="AQ286" s="5"/>
    </row>
    <row r="287" ht="15.75" customHeight="1">
      <c r="C287" s="4"/>
      <c r="D287" s="333"/>
      <c r="E287" s="5"/>
      <c r="F287" s="5"/>
      <c r="G287" s="5"/>
      <c r="H287" s="112"/>
      <c r="L287" s="4"/>
      <c r="M287" s="5"/>
      <c r="N287" s="112"/>
      <c r="R287" s="333"/>
      <c r="S287" s="5"/>
      <c r="T287" s="112"/>
      <c r="X287" s="333"/>
      <c r="Y287" s="5"/>
      <c r="AD287" s="333"/>
      <c r="AE287" s="5"/>
      <c r="AJ287" s="333"/>
      <c r="AK287" s="5"/>
      <c r="AP287" s="333"/>
      <c r="AQ287" s="5"/>
    </row>
    <row r="288" ht="15.75" customHeight="1">
      <c r="C288" s="4"/>
      <c r="D288" s="333"/>
      <c r="E288" s="5"/>
      <c r="F288" s="5"/>
      <c r="G288" s="5"/>
      <c r="H288" s="112"/>
      <c r="L288" s="4"/>
      <c r="M288" s="5"/>
      <c r="N288" s="112"/>
      <c r="R288" s="333"/>
      <c r="S288" s="5"/>
      <c r="T288" s="112"/>
      <c r="X288" s="333"/>
      <c r="Y288" s="5"/>
      <c r="AD288" s="333"/>
      <c r="AE288" s="5"/>
      <c r="AJ288" s="333"/>
      <c r="AK288" s="5"/>
      <c r="AP288" s="333"/>
      <c r="AQ288" s="5"/>
    </row>
    <row r="289" ht="15.75" customHeight="1">
      <c r="C289" s="4"/>
      <c r="D289" s="333"/>
      <c r="E289" s="5"/>
      <c r="F289" s="5"/>
      <c r="G289" s="5"/>
      <c r="H289" s="112"/>
      <c r="L289" s="4"/>
      <c r="M289" s="5"/>
      <c r="N289" s="112"/>
      <c r="R289" s="333"/>
      <c r="S289" s="5"/>
      <c r="T289" s="112"/>
      <c r="X289" s="333"/>
      <c r="Y289" s="5"/>
      <c r="AD289" s="333"/>
      <c r="AE289" s="5"/>
      <c r="AJ289" s="333"/>
      <c r="AK289" s="5"/>
      <c r="AP289" s="333"/>
      <c r="AQ289" s="5"/>
    </row>
    <row r="290" ht="15.75" customHeight="1">
      <c r="C290" s="4"/>
      <c r="D290" s="333"/>
      <c r="E290" s="5"/>
      <c r="F290" s="5"/>
      <c r="G290" s="5"/>
      <c r="H290" s="112"/>
      <c r="L290" s="4"/>
      <c r="M290" s="5"/>
      <c r="N290" s="112"/>
      <c r="R290" s="333"/>
      <c r="S290" s="5"/>
      <c r="T290" s="112"/>
      <c r="X290" s="333"/>
      <c r="Y290" s="5"/>
      <c r="AD290" s="333"/>
      <c r="AE290" s="5"/>
      <c r="AJ290" s="333"/>
      <c r="AK290" s="5"/>
      <c r="AP290" s="333"/>
      <c r="AQ290" s="5"/>
    </row>
    <row r="291" ht="15.75" customHeight="1">
      <c r="C291" s="4"/>
      <c r="D291" s="333"/>
      <c r="E291" s="5"/>
      <c r="F291" s="5"/>
      <c r="G291" s="5"/>
      <c r="H291" s="112"/>
      <c r="L291" s="4"/>
      <c r="M291" s="5"/>
      <c r="N291" s="112"/>
      <c r="R291" s="333"/>
      <c r="S291" s="5"/>
      <c r="T291" s="112"/>
      <c r="X291" s="333"/>
      <c r="Y291" s="5"/>
      <c r="AD291" s="333"/>
      <c r="AE291" s="5"/>
      <c r="AJ291" s="333"/>
      <c r="AK291" s="5"/>
      <c r="AP291" s="333"/>
      <c r="AQ291" s="5"/>
    </row>
    <row r="292" ht="15.75" customHeight="1">
      <c r="C292" s="4"/>
      <c r="D292" s="333"/>
      <c r="E292" s="5"/>
      <c r="F292" s="5"/>
      <c r="G292" s="5"/>
      <c r="H292" s="112"/>
      <c r="L292" s="4"/>
      <c r="M292" s="5"/>
      <c r="N292" s="112"/>
      <c r="R292" s="333"/>
      <c r="S292" s="5"/>
      <c r="T292" s="112"/>
      <c r="X292" s="333"/>
      <c r="Y292" s="5"/>
      <c r="AD292" s="333"/>
      <c r="AE292" s="5"/>
      <c r="AJ292" s="333"/>
      <c r="AK292" s="5"/>
      <c r="AP292" s="333"/>
      <c r="AQ292" s="5"/>
    </row>
    <row r="293" ht="15.75" customHeight="1">
      <c r="C293" s="4"/>
      <c r="D293" s="333"/>
      <c r="E293" s="5"/>
      <c r="F293" s="5"/>
      <c r="G293" s="5"/>
      <c r="H293" s="112"/>
      <c r="L293" s="4"/>
      <c r="M293" s="5"/>
      <c r="N293" s="112"/>
      <c r="R293" s="333"/>
      <c r="S293" s="5"/>
      <c r="T293" s="112"/>
      <c r="X293" s="333"/>
      <c r="Y293" s="5"/>
      <c r="AD293" s="333"/>
      <c r="AE293" s="5"/>
      <c r="AJ293" s="333"/>
      <c r="AK293" s="5"/>
      <c r="AP293" s="333"/>
      <c r="AQ293" s="5"/>
    </row>
    <row r="294" ht="15.75" customHeight="1">
      <c r="C294" s="4"/>
      <c r="D294" s="333"/>
      <c r="E294" s="5"/>
      <c r="F294" s="5"/>
      <c r="G294" s="5"/>
      <c r="H294" s="112"/>
      <c r="L294" s="4"/>
      <c r="M294" s="5"/>
      <c r="N294" s="112"/>
      <c r="R294" s="333"/>
      <c r="S294" s="5"/>
      <c r="T294" s="112"/>
      <c r="X294" s="333"/>
      <c r="Y294" s="5"/>
      <c r="AD294" s="333"/>
      <c r="AE294" s="5"/>
      <c r="AJ294" s="333"/>
      <c r="AK294" s="5"/>
      <c r="AP294" s="333"/>
      <c r="AQ294" s="5"/>
    </row>
    <row r="295" ht="15.75" customHeight="1">
      <c r="C295" s="4"/>
      <c r="D295" s="333"/>
      <c r="E295" s="5"/>
      <c r="F295" s="5"/>
      <c r="G295" s="5"/>
      <c r="H295" s="112"/>
      <c r="L295" s="4"/>
      <c r="M295" s="5"/>
      <c r="N295" s="112"/>
      <c r="R295" s="333"/>
      <c r="S295" s="5"/>
      <c r="T295" s="112"/>
      <c r="X295" s="333"/>
      <c r="Y295" s="5"/>
      <c r="AD295" s="333"/>
      <c r="AE295" s="5"/>
      <c r="AJ295" s="333"/>
      <c r="AK295" s="5"/>
      <c r="AP295" s="333"/>
      <c r="AQ295" s="5"/>
    </row>
    <row r="296" ht="15.75" customHeight="1">
      <c r="C296" s="4"/>
      <c r="D296" s="333"/>
      <c r="E296" s="5"/>
      <c r="F296" s="5"/>
      <c r="G296" s="5"/>
      <c r="H296" s="112"/>
      <c r="L296" s="4"/>
      <c r="M296" s="5"/>
      <c r="N296" s="112"/>
      <c r="R296" s="333"/>
      <c r="S296" s="5"/>
      <c r="T296" s="112"/>
      <c r="X296" s="333"/>
      <c r="Y296" s="5"/>
      <c r="AD296" s="333"/>
      <c r="AE296" s="5"/>
      <c r="AJ296" s="333"/>
      <c r="AK296" s="5"/>
      <c r="AP296" s="333"/>
      <c r="AQ296" s="5"/>
    </row>
    <row r="297" ht="15.75" customHeight="1">
      <c r="C297" s="4"/>
      <c r="D297" s="333"/>
      <c r="E297" s="5"/>
      <c r="F297" s="5"/>
      <c r="G297" s="5"/>
      <c r="H297" s="112"/>
      <c r="L297" s="4"/>
      <c r="M297" s="5"/>
      <c r="N297" s="112"/>
      <c r="R297" s="333"/>
      <c r="S297" s="5"/>
      <c r="T297" s="112"/>
      <c r="X297" s="333"/>
      <c r="Y297" s="5"/>
      <c r="AD297" s="333"/>
      <c r="AE297" s="5"/>
      <c r="AJ297" s="333"/>
      <c r="AK297" s="5"/>
      <c r="AP297" s="333"/>
      <c r="AQ297" s="5"/>
    </row>
    <row r="298" ht="15.75" customHeight="1">
      <c r="C298" s="4"/>
      <c r="D298" s="333"/>
      <c r="E298" s="5"/>
      <c r="F298" s="5"/>
      <c r="G298" s="5"/>
      <c r="H298" s="112"/>
      <c r="L298" s="4"/>
      <c r="M298" s="5"/>
      <c r="N298" s="112"/>
      <c r="R298" s="333"/>
      <c r="S298" s="5"/>
      <c r="T298" s="112"/>
      <c r="X298" s="333"/>
      <c r="Y298" s="5"/>
      <c r="AD298" s="333"/>
      <c r="AE298" s="5"/>
      <c r="AJ298" s="333"/>
      <c r="AK298" s="5"/>
      <c r="AP298" s="333"/>
      <c r="AQ298" s="5"/>
    </row>
    <row r="299" ht="15.75" customHeight="1">
      <c r="C299" s="4"/>
      <c r="D299" s="333"/>
      <c r="E299" s="5"/>
      <c r="F299" s="5"/>
      <c r="G299" s="5"/>
      <c r="H299" s="112"/>
      <c r="L299" s="4"/>
      <c r="M299" s="5"/>
      <c r="N299" s="112"/>
      <c r="R299" s="333"/>
      <c r="S299" s="5"/>
      <c r="T299" s="112"/>
      <c r="X299" s="333"/>
      <c r="Y299" s="5"/>
      <c r="AD299" s="333"/>
      <c r="AE299" s="5"/>
      <c r="AJ299" s="333"/>
      <c r="AK299" s="5"/>
      <c r="AP299" s="333"/>
      <c r="AQ299" s="5"/>
    </row>
    <row r="300" ht="15.75" customHeight="1">
      <c r="C300" s="4"/>
      <c r="D300" s="333"/>
      <c r="E300" s="5"/>
      <c r="F300" s="5"/>
      <c r="G300" s="5"/>
      <c r="H300" s="112"/>
      <c r="L300" s="4"/>
      <c r="M300" s="5"/>
      <c r="N300" s="112"/>
      <c r="R300" s="333"/>
      <c r="S300" s="5"/>
      <c r="T300" s="112"/>
      <c r="X300" s="333"/>
      <c r="Y300" s="5"/>
      <c r="AD300" s="333"/>
      <c r="AE300" s="5"/>
      <c r="AJ300" s="333"/>
      <c r="AK300" s="5"/>
      <c r="AP300" s="333"/>
      <c r="AQ300" s="5"/>
    </row>
    <row r="301" ht="15.75" customHeight="1">
      <c r="C301" s="4"/>
      <c r="D301" s="333"/>
      <c r="E301" s="5"/>
      <c r="F301" s="5"/>
      <c r="G301" s="5"/>
      <c r="H301" s="112"/>
      <c r="L301" s="4"/>
      <c r="M301" s="5"/>
      <c r="N301" s="112"/>
      <c r="R301" s="333"/>
      <c r="S301" s="5"/>
      <c r="T301" s="112"/>
      <c r="X301" s="333"/>
      <c r="Y301" s="5"/>
      <c r="AD301" s="333"/>
      <c r="AE301" s="5"/>
      <c r="AJ301" s="333"/>
      <c r="AK301" s="5"/>
      <c r="AP301" s="333"/>
      <c r="AQ301" s="5"/>
    </row>
    <row r="302" ht="15.75" customHeight="1">
      <c r="C302" s="4"/>
      <c r="D302" s="333"/>
      <c r="E302" s="5"/>
      <c r="F302" s="5"/>
      <c r="G302" s="5"/>
      <c r="H302" s="112"/>
      <c r="L302" s="4"/>
      <c r="M302" s="5"/>
      <c r="N302" s="112"/>
      <c r="R302" s="333"/>
      <c r="S302" s="5"/>
      <c r="T302" s="112"/>
      <c r="X302" s="333"/>
      <c r="Y302" s="5"/>
      <c r="AD302" s="333"/>
      <c r="AE302" s="5"/>
      <c r="AJ302" s="333"/>
      <c r="AK302" s="5"/>
      <c r="AP302" s="333"/>
      <c r="AQ302" s="5"/>
    </row>
    <row r="303" ht="15.75" customHeight="1">
      <c r="C303" s="4"/>
      <c r="D303" s="333"/>
      <c r="E303" s="5"/>
      <c r="F303" s="5"/>
      <c r="G303" s="5"/>
      <c r="H303" s="112"/>
      <c r="L303" s="4"/>
      <c r="M303" s="5"/>
      <c r="N303" s="112"/>
      <c r="R303" s="333"/>
      <c r="S303" s="5"/>
      <c r="T303" s="112"/>
      <c r="X303" s="333"/>
      <c r="Y303" s="5"/>
      <c r="AD303" s="333"/>
      <c r="AE303" s="5"/>
      <c r="AJ303" s="333"/>
      <c r="AK303" s="5"/>
      <c r="AP303" s="333"/>
      <c r="AQ303" s="5"/>
    </row>
    <row r="304" ht="15.75" customHeight="1">
      <c r="C304" s="4"/>
      <c r="D304" s="333"/>
      <c r="E304" s="5"/>
      <c r="F304" s="5"/>
      <c r="G304" s="5"/>
      <c r="H304" s="112"/>
      <c r="L304" s="4"/>
      <c r="M304" s="5"/>
      <c r="N304" s="112"/>
      <c r="R304" s="333"/>
      <c r="S304" s="5"/>
      <c r="T304" s="112"/>
      <c r="X304" s="333"/>
      <c r="Y304" s="5"/>
      <c r="AD304" s="333"/>
      <c r="AE304" s="5"/>
      <c r="AJ304" s="333"/>
      <c r="AK304" s="5"/>
      <c r="AP304" s="333"/>
      <c r="AQ304" s="5"/>
    </row>
    <row r="305" ht="15.75" customHeight="1">
      <c r="C305" s="4"/>
      <c r="D305" s="333"/>
      <c r="E305" s="5"/>
      <c r="F305" s="5"/>
      <c r="G305" s="5"/>
      <c r="H305" s="112"/>
      <c r="L305" s="4"/>
      <c r="M305" s="5"/>
      <c r="N305" s="112"/>
      <c r="R305" s="333"/>
      <c r="S305" s="5"/>
      <c r="T305" s="112"/>
      <c r="X305" s="333"/>
      <c r="Y305" s="5"/>
      <c r="AD305" s="333"/>
      <c r="AE305" s="5"/>
      <c r="AJ305" s="333"/>
      <c r="AK305" s="5"/>
      <c r="AP305" s="333"/>
      <c r="AQ305" s="5"/>
    </row>
    <row r="306" ht="15.75" customHeight="1">
      <c r="C306" s="4"/>
      <c r="D306" s="333"/>
      <c r="E306" s="5"/>
      <c r="F306" s="5"/>
      <c r="G306" s="5"/>
      <c r="H306" s="112"/>
      <c r="L306" s="4"/>
      <c r="M306" s="5"/>
      <c r="N306" s="112"/>
      <c r="R306" s="333"/>
      <c r="S306" s="5"/>
      <c r="T306" s="112"/>
      <c r="X306" s="333"/>
      <c r="Y306" s="5"/>
      <c r="AD306" s="333"/>
      <c r="AE306" s="5"/>
      <c r="AJ306" s="333"/>
      <c r="AK306" s="5"/>
      <c r="AP306" s="333"/>
      <c r="AQ306" s="5"/>
    </row>
    <row r="307" ht="15.75" customHeight="1">
      <c r="C307" s="4"/>
      <c r="D307" s="333"/>
      <c r="E307" s="5"/>
      <c r="F307" s="5"/>
      <c r="G307" s="5"/>
      <c r="H307" s="112"/>
      <c r="L307" s="4"/>
      <c r="M307" s="5"/>
      <c r="N307" s="112"/>
      <c r="R307" s="333"/>
      <c r="S307" s="5"/>
      <c r="T307" s="112"/>
      <c r="X307" s="333"/>
      <c r="Y307" s="5"/>
      <c r="AD307" s="333"/>
      <c r="AE307" s="5"/>
      <c r="AJ307" s="333"/>
      <c r="AK307" s="5"/>
      <c r="AP307" s="333"/>
      <c r="AQ307" s="5"/>
    </row>
    <row r="308" ht="15.75" customHeight="1">
      <c r="C308" s="4"/>
      <c r="D308" s="333"/>
      <c r="E308" s="5"/>
      <c r="F308" s="5"/>
      <c r="G308" s="5"/>
      <c r="H308" s="112"/>
      <c r="L308" s="4"/>
      <c r="M308" s="5"/>
      <c r="N308" s="112"/>
      <c r="R308" s="333"/>
      <c r="S308" s="5"/>
      <c r="T308" s="112"/>
      <c r="X308" s="333"/>
      <c r="Y308" s="5"/>
      <c r="AD308" s="333"/>
      <c r="AE308" s="5"/>
      <c r="AJ308" s="333"/>
      <c r="AK308" s="5"/>
      <c r="AP308" s="333"/>
      <c r="AQ308" s="5"/>
    </row>
    <row r="309" ht="15.75" customHeight="1">
      <c r="C309" s="4"/>
      <c r="D309" s="333"/>
      <c r="E309" s="5"/>
      <c r="F309" s="5"/>
      <c r="G309" s="5"/>
      <c r="H309" s="112"/>
      <c r="L309" s="4"/>
      <c r="M309" s="5"/>
      <c r="N309" s="112"/>
      <c r="R309" s="333"/>
      <c r="S309" s="5"/>
      <c r="T309" s="112"/>
      <c r="X309" s="333"/>
      <c r="Y309" s="5"/>
      <c r="AD309" s="333"/>
      <c r="AE309" s="5"/>
      <c r="AJ309" s="333"/>
      <c r="AK309" s="5"/>
      <c r="AP309" s="333"/>
      <c r="AQ309" s="5"/>
    </row>
    <row r="310" ht="15.75" customHeight="1">
      <c r="C310" s="4"/>
      <c r="D310" s="333"/>
      <c r="E310" s="5"/>
      <c r="F310" s="5"/>
      <c r="G310" s="5"/>
      <c r="H310" s="112"/>
      <c r="L310" s="4"/>
      <c r="M310" s="5"/>
      <c r="N310" s="112"/>
      <c r="R310" s="333"/>
      <c r="S310" s="5"/>
      <c r="T310" s="112"/>
      <c r="X310" s="333"/>
      <c r="Y310" s="5"/>
      <c r="AD310" s="333"/>
      <c r="AE310" s="5"/>
      <c r="AJ310" s="333"/>
      <c r="AK310" s="5"/>
      <c r="AP310" s="333"/>
      <c r="AQ310" s="5"/>
    </row>
    <row r="311" ht="15.75" customHeight="1">
      <c r="C311" s="4"/>
      <c r="D311" s="333"/>
      <c r="E311" s="5"/>
      <c r="F311" s="5"/>
      <c r="G311" s="5"/>
      <c r="H311" s="112"/>
      <c r="L311" s="4"/>
      <c r="M311" s="5"/>
      <c r="N311" s="112"/>
      <c r="R311" s="333"/>
      <c r="S311" s="5"/>
      <c r="T311" s="112"/>
      <c r="X311" s="333"/>
      <c r="Y311" s="5"/>
      <c r="AD311" s="333"/>
      <c r="AE311" s="5"/>
      <c r="AJ311" s="333"/>
      <c r="AK311" s="5"/>
      <c r="AP311" s="333"/>
      <c r="AQ311" s="5"/>
    </row>
    <row r="312" ht="15.75" customHeight="1">
      <c r="C312" s="4"/>
      <c r="D312" s="333"/>
      <c r="E312" s="5"/>
      <c r="F312" s="5"/>
      <c r="G312" s="5"/>
      <c r="H312" s="112"/>
      <c r="L312" s="4"/>
      <c r="M312" s="5"/>
      <c r="N312" s="112"/>
      <c r="R312" s="333"/>
      <c r="S312" s="5"/>
      <c r="T312" s="112"/>
      <c r="X312" s="333"/>
      <c r="Y312" s="5"/>
      <c r="AD312" s="333"/>
      <c r="AE312" s="5"/>
      <c r="AJ312" s="333"/>
      <c r="AK312" s="5"/>
      <c r="AP312" s="333"/>
      <c r="AQ312" s="5"/>
    </row>
    <row r="313" ht="15.75" customHeight="1">
      <c r="C313" s="4"/>
      <c r="D313" s="333"/>
      <c r="E313" s="5"/>
      <c r="F313" s="5"/>
      <c r="G313" s="5"/>
      <c r="H313" s="112"/>
      <c r="L313" s="4"/>
      <c r="M313" s="5"/>
      <c r="N313" s="112"/>
      <c r="R313" s="333"/>
      <c r="S313" s="5"/>
      <c r="T313" s="112"/>
      <c r="X313" s="333"/>
      <c r="Y313" s="5"/>
      <c r="AD313" s="333"/>
      <c r="AE313" s="5"/>
      <c r="AJ313" s="333"/>
      <c r="AK313" s="5"/>
      <c r="AP313" s="333"/>
      <c r="AQ313" s="5"/>
    </row>
    <row r="314" ht="15.75" customHeight="1">
      <c r="C314" s="4"/>
      <c r="D314" s="333"/>
      <c r="E314" s="5"/>
      <c r="F314" s="5"/>
      <c r="G314" s="5"/>
      <c r="H314" s="112"/>
      <c r="L314" s="4"/>
      <c r="M314" s="5"/>
      <c r="N314" s="112"/>
      <c r="R314" s="333"/>
      <c r="S314" s="5"/>
      <c r="T314" s="112"/>
      <c r="X314" s="333"/>
      <c r="Y314" s="5"/>
      <c r="AD314" s="333"/>
      <c r="AE314" s="5"/>
      <c r="AJ314" s="333"/>
      <c r="AK314" s="5"/>
      <c r="AP314" s="333"/>
      <c r="AQ314" s="5"/>
    </row>
    <row r="315" ht="15.75" customHeight="1">
      <c r="C315" s="4"/>
      <c r="D315" s="333"/>
      <c r="E315" s="5"/>
      <c r="F315" s="5"/>
      <c r="G315" s="5"/>
      <c r="H315" s="112"/>
      <c r="L315" s="4"/>
      <c r="M315" s="5"/>
      <c r="N315" s="112"/>
      <c r="R315" s="333"/>
      <c r="S315" s="5"/>
      <c r="T315" s="112"/>
      <c r="X315" s="333"/>
      <c r="Y315" s="5"/>
      <c r="AD315" s="333"/>
      <c r="AE315" s="5"/>
      <c r="AJ315" s="333"/>
      <c r="AK315" s="5"/>
      <c r="AP315" s="333"/>
      <c r="AQ315" s="5"/>
    </row>
    <row r="316" ht="15.75" customHeight="1">
      <c r="C316" s="4"/>
      <c r="D316" s="333"/>
      <c r="E316" s="5"/>
      <c r="F316" s="5"/>
      <c r="G316" s="5"/>
      <c r="H316" s="112"/>
      <c r="L316" s="4"/>
      <c r="M316" s="5"/>
      <c r="N316" s="112"/>
      <c r="R316" s="333"/>
      <c r="S316" s="5"/>
      <c r="T316" s="112"/>
      <c r="X316" s="333"/>
      <c r="Y316" s="5"/>
      <c r="AD316" s="333"/>
      <c r="AE316" s="5"/>
      <c r="AJ316" s="333"/>
      <c r="AK316" s="5"/>
      <c r="AP316" s="333"/>
      <c r="AQ316" s="5"/>
    </row>
    <row r="317" ht="15.75" customHeight="1">
      <c r="C317" s="4"/>
      <c r="D317" s="333"/>
      <c r="E317" s="5"/>
      <c r="F317" s="5"/>
      <c r="G317" s="5"/>
      <c r="H317" s="112"/>
      <c r="L317" s="4"/>
      <c r="M317" s="5"/>
      <c r="N317" s="112"/>
      <c r="R317" s="333"/>
      <c r="S317" s="5"/>
      <c r="T317" s="112"/>
      <c r="X317" s="333"/>
      <c r="Y317" s="5"/>
      <c r="AD317" s="333"/>
      <c r="AE317" s="5"/>
      <c r="AJ317" s="333"/>
      <c r="AK317" s="5"/>
      <c r="AP317" s="333"/>
      <c r="AQ317" s="5"/>
    </row>
    <row r="318" ht="15.75" customHeight="1">
      <c r="C318" s="4"/>
      <c r="D318" s="333"/>
      <c r="E318" s="5"/>
      <c r="F318" s="5"/>
      <c r="G318" s="5"/>
      <c r="H318" s="112"/>
      <c r="L318" s="4"/>
      <c r="M318" s="5"/>
      <c r="N318" s="112"/>
      <c r="R318" s="333"/>
      <c r="S318" s="5"/>
      <c r="T318" s="112"/>
      <c r="X318" s="333"/>
      <c r="Y318" s="5"/>
      <c r="AD318" s="333"/>
      <c r="AE318" s="5"/>
      <c r="AJ318" s="333"/>
      <c r="AK318" s="5"/>
      <c r="AP318" s="333"/>
      <c r="AQ318" s="5"/>
    </row>
    <row r="319" ht="15.75" customHeight="1">
      <c r="C319" s="4"/>
      <c r="D319" s="333"/>
      <c r="E319" s="5"/>
      <c r="F319" s="5"/>
      <c r="G319" s="5"/>
      <c r="H319" s="112"/>
      <c r="L319" s="4"/>
      <c r="M319" s="5"/>
      <c r="N319" s="112"/>
      <c r="R319" s="333"/>
      <c r="S319" s="5"/>
      <c r="T319" s="112"/>
      <c r="X319" s="333"/>
      <c r="Y319" s="5"/>
      <c r="AD319" s="333"/>
      <c r="AE319" s="5"/>
      <c r="AJ319" s="333"/>
      <c r="AK319" s="5"/>
      <c r="AP319" s="333"/>
      <c r="AQ319" s="5"/>
    </row>
    <row r="320" ht="15.75" customHeight="1">
      <c r="C320" s="4"/>
      <c r="D320" s="333"/>
      <c r="E320" s="5"/>
      <c r="F320" s="5"/>
      <c r="G320" s="5"/>
      <c r="H320" s="112"/>
      <c r="L320" s="4"/>
      <c r="M320" s="5"/>
      <c r="N320" s="112"/>
      <c r="R320" s="333"/>
      <c r="S320" s="5"/>
      <c r="T320" s="112"/>
      <c r="X320" s="333"/>
      <c r="Y320" s="5"/>
      <c r="AD320" s="333"/>
      <c r="AE320" s="5"/>
      <c r="AJ320" s="333"/>
      <c r="AK320" s="5"/>
      <c r="AP320" s="333"/>
      <c r="AQ320" s="5"/>
    </row>
    <row r="321" ht="15.75" customHeight="1">
      <c r="C321" s="4"/>
      <c r="D321" s="333"/>
      <c r="E321" s="5"/>
      <c r="F321" s="5"/>
      <c r="G321" s="5"/>
      <c r="H321" s="112"/>
      <c r="L321" s="4"/>
      <c r="M321" s="5"/>
      <c r="N321" s="112"/>
      <c r="R321" s="333"/>
      <c r="S321" s="5"/>
      <c r="T321" s="112"/>
      <c r="X321" s="333"/>
      <c r="Y321" s="5"/>
      <c r="AD321" s="333"/>
      <c r="AE321" s="5"/>
      <c r="AJ321" s="333"/>
      <c r="AK321" s="5"/>
      <c r="AP321" s="333"/>
      <c r="AQ321" s="5"/>
    </row>
    <row r="322" ht="15.75" customHeight="1">
      <c r="C322" s="4"/>
      <c r="D322" s="333"/>
      <c r="E322" s="5"/>
      <c r="F322" s="5"/>
      <c r="G322" s="5"/>
      <c r="H322" s="112"/>
      <c r="L322" s="4"/>
      <c r="M322" s="5"/>
      <c r="N322" s="112"/>
      <c r="R322" s="333"/>
      <c r="S322" s="5"/>
      <c r="T322" s="112"/>
      <c r="X322" s="333"/>
      <c r="Y322" s="5"/>
      <c r="AD322" s="333"/>
      <c r="AE322" s="5"/>
      <c r="AJ322" s="333"/>
      <c r="AK322" s="5"/>
      <c r="AP322" s="333"/>
      <c r="AQ322" s="5"/>
    </row>
    <row r="323" ht="15.75" customHeight="1">
      <c r="C323" s="4"/>
      <c r="D323" s="333"/>
      <c r="E323" s="5"/>
      <c r="F323" s="5"/>
      <c r="G323" s="5"/>
      <c r="H323" s="112"/>
      <c r="L323" s="4"/>
      <c r="M323" s="5"/>
      <c r="N323" s="112"/>
      <c r="R323" s="333"/>
      <c r="S323" s="5"/>
      <c r="T323" s="112"/>
      <c r="X323" s="333"/>
      <c r="Y323" s="5"/>
      <c r="AD323" s="333"/>
      <c r="AE323" s="5"/>
      <c r="AJ323" s="333"/>
      <c r="AK323" s="5"/>
      <c r="AP323" s="333"/>
      <c r="AQ323" s="5"/>
    </row>
    <row r="324" ht="15.75" customHeight="1">
      <c r="C324" s="4"/>
      <c r="D324" s="333"/>
      <c r="E324" s="5"/>
      <c r="F324" s="5"/>
      <c r="G324" s="5"/>
      <c r="H324" s="112"/>
      <c r="L324" s="4"/>
      <c r="M324" s="5"/>
      <c r="N324" s="112"/>
      <c r="R324" s="333"/>
      <c r="S324" s="5"/>
      <c r="T324" s="112"/>
      <c r="X324" s="333"/>
      <c r="Y324" s="5"/>
      <c r="AD324" s="333"/>
      <c r="AE324" s="5"/>
      <c r="AJ324" s="333"/>
      <c r="AK324" s="5"/>
      <c r="AP324" s="333"/>
      <c r="AQ324" s="5"/>
    </row>
    <row r="325" ht="15.75" customHeight="1">
      <c r="C325" s="4"/>
      <c r="D325" s="333"/>
      <c r="E325" s="5"/>
      <c r="F325" s="5"/>
      <c r="G325" s="5"/>
      <c r="H325" s="112"/>
      <c r="L325" s="4"/>
      <c r="M325" s="5"/>
      <c r="N325" s="112"/>
      <c r="R325" s="333"/>
      <c r="S325" s="5"/>
      <c r="T325" s="112"/>
      <c r="X325" s="333"/>
      <c r="Y325" s="5"/>
      <c r="AD325" s="333"/>
      <c r="AE325" s="5"/>
      <c r="AJ325" s="333"/>
      <c r="AK325" s="5"/>
      <c r="AP325" s="333"/>
      <c r="AQ325" s="5"/>
    </row>
    <row r="326" ht="15.75" customHeight="1">
      <c r="C326" s="4"/>
      <c r="D326" s="333"/>
      <c r="E326" s="5"/>
      <c r="F326" s="5"/>
      <c r="G326" s="5"/>
      <c r="H326" s="112"/>
      <c r="L326" s="4"/>
      <c r="M326" s="5"/>
      <c r="N326" s="112"/>
      <c r="R326" s="333"/>
      <c r="S326" s="5"/>
      <c r="T326" s="112"/>
      <c r="X326" s="333"/>
      <c r="Y326" s="5"/>
      <c r="AD326" s="333"/>
      <c r="AE326" s="5"/>
      <c r="AJ326" s="333"/>
      <c r="AK326" s="5"/>
      <c r="AP326" s="333"/>
      <c r="AQ326" s="5"/>
    </row>
    <row r="327" ht="15.75" customHeight="1">
      <c r="C327" s="4"/>
      <c r="D327" s="333"/>
      <c r="E327" s="5"/>
      <c r="F327" s="5"/>
      <c r="G327" s="5"/>
      <c r="H327" s="112"/>
      <c r="L327" s="4"/>
      <c r="M327" s="5"/>
      <c r="N327" s="112"/>
      <c r="R327" s="333"/>
      <c r="S327" s="5"/>
      <c r="T327" s="112"/>
      <c r="X327" s="333"/>
      <c r="Y327" s="5"/>
      <c r="AD327" s="333"/>
      <c r="AE327" s="5"/>
      <c r="AJ327" s="333"/>
      <c r="AK327" s="5"/>
      <c r="AP327" s="333"/>
      <c r="AQ327" s="5"/>
    </row>
    <row r="328" ht="15.75" customHeight="1">
      <c r="C328" s="4"/>
      <c r="D328" s="333"/>
      <c r="E328" s="5"/>
      <c r="F328" s="5"/>
      <c r="G328" s="5"/>
      <c r="H328" s="112"/>
      <c r="L328" s="4"/>
      <c r="M328" s="5"/>
      <c r="N328" s="112"/>
      <c r="R328" s="333"/>
      <c r="S328" s="5"/>
      <c r="T328" s="112"/>
      <c r="X328" s="333"/>
      <c r="Y328" s="5"/>
      <c r="AD328" s="333"/>
      <c r="AE328" s="5"/>
      <c r="AJ328" s="333"/>
      <c r="AK328" s="5"/>
      <c r="AP328" s="333"/>
      <c r="AQ328" s="5"/>
    </row>
    <row r="329" ht="15.75" customHeight="1">
      <c r="C329" s="4"/>
      <c r="D329" s="333"/>
      <c r="E329" s="5"/>
      <c r="F329" s="5"/>
      <c r="G329" s="5"/>
      <c r="H329" s="112"/>
      <c r="L329" s="4"/>
      <c r="M329" s="5"/>
      <c r="N329" s="112"/>
      <c r="R329" s="333"/>
      <c r="S329" s="5"/>
      <c r="T329" s="112"/>
      <c r="X329" s="333"/>
      <c r="Y329" s="5"/>
      <c r="AD329" s="333"/>
      <c r="AE329" s="5"/>
      <c r="AJ329" s="333"/>
      <c r="AK329" s="5"/>
      <c r="AP329" s="333"/>
      <c r="AQ329" s="5"/>
    </row>
    <row r="330" ht="15.75" customHeight="1">
      <c r="C330" s="4"/>
      <c r="D330" s="333"/>
      <c r="E330" s="5"/>
      <c r="F330" s="5"/>
      <c r="G330" s="5"/>
      <c r="H330" s="112"/>
      <c r="L330" s="4"/>
      <c r="M330" s="5"/>
      <c r="N330" s="112"/>
      <c r="R330" s="333"/>
      <c r="S330" s="5"/>
      <c r="T330" s="112"/>
      <c r="X330" s="333"/>
      <c r="Y330" s="5"/>
      <c r="AD330" s="333"/>
      <c r="AE330" s="5"/>
      <c r="AJ330" s="333"/>
      <c r="AK330" s="5"/>
      <c r="AP330" s="333"/>
      <c r="AQ330" s="5"/>
    </row>
    <row r="331" ht="15.75" customHeight="1">
      <c r="C331" s="4"/>
      <c r="D331" s="333"/>
      <c r="E331" s="5"/>
      <c r="F331" s="5"/>
      <c r="G331" s="5"/>
      <c r="H331" s="112"/>
      <c r="L331" s="4"/>
      <c r="M331" s="5"/>
      <c r="N331" s="112"/>
      <c r="R331" s="333"/>
      <c r="S331" s="5"/>
      <c r="T331" s="112"/>
      <c r="X331" s="333"/>
      <c r="Y331" s="5"/>
      <c r="AD331" s="333"/>
      <c r="AE331" s="5"/>
      <c r="AJ331" s="333"/>
      <c r="AK331" s="5"/>
      <c r="AP331" s="333"/>
      <c r="AQ331" s="5"/>
    </row>
    <row r="332" ht="15.75" customHeight="1">
      <c r="C332" s="4"/>
      <c r="D332" s="333"/>
      <c r="E332" s="5"/>
      <c r="F332" s="5"/>
      <c r="G332" s="5"/>
      <c r="H332" s="112"/>
      <c r="L332" s="4"/>
      <c r="M332" s="5"/>
      <c r="N332" s="112"/>
      <c r="R332" s="333"/>
      <c r="S332" s="5"/>
      <c r="T332" s="112"/>
      <c r="X332" s="333"/>
      <c r="Y332" s="5"/>
      <c r="AD332" s="333"/>
      <c r="AE332" s="5"/>
      <c r="AJ332" s="333"/>
      <c r="AK332" s="5"/>
      <c r="AP332" s="333"/>
      <c r="AQ332" s="5"/>
    </row>
    <row r="333" ht="15.75" customHeight="1">
      <c r="C333" s="4"/>
      <c r="D333" s="333"/>
      <c r="E333" s="5"/>
      <c r="F333" s="5"/>
      <c r="G333" s="5"/>
      <c r="H333" s="112"/>
      <c r="L333" s="4"/>
      <c r="M333" s="5"/>
      <c r="N333" s="112"/>
      <c r="R333" s="333"/>
      <c r="S333" s="5"/>
      <c r="T333" s="112"/>
      <c r="X333" s="333"/>
      <c r="Y333" s="5"/>
      <c r="AD333" s="333"/>
      <c r="AE333" s="5"/>
      <c r="AJ333" s="333"/>
      <c r="AK333" s="5"/>
      <c r="AP333" s="333"/>
      <c r="AQ333" s="5"/>
    </row>
    <row r="334" ht="15.75" customHeight="1">
      <c r="C334" s="4"/>
      <c r="D334" s="333"/>
      <c r="E334" s="5"/>
      <c r="F334" s="5"/>
      <c r="G334" s="5"/>
      <c r="H334" s="112"/>
      <c r="L334" s="4"/>
      <c r="M334" s="5"/>
      <c r="N334" s="112"/>
      <c r="R334" s="333"/>
      <c r="S334" s="5"/>
      <c r="T334" s="112"/>
      <c r="X334" s="333"/>
      <c r="Y334" s="5"/>
      <c r="AD334" s="333"/>
      <c r="AE334" s="5"/>
      <c r="AJ334" s="333"/>
      <c r="AK334" s="5"/>
      <c r="AP334" s="333"/>
      <c r="AQ334" s="5"/>
    </row>
    <row r="335" ht="15.75" customHeight="1">
      <c r="C335" s="4"/>
      <c r="D335" s="333"/>
      <c r="E335" s="5"/>
      <c r="F335" s="5"/>
      <c r="G335" s="5"/>
      <c r="H335" s="112"/>
      <c r="L335" s="4"/>
      <c r="M335" s="5"/>
      <c r="N335" s="112"/>
      <c r="R335" s="333"/>
      <c r="S335" s="5"/>
      <c r="T335" s="112"/>
      <c r="X335" s="333"/>
      <c r="Y335" s="5"/>
      <c r="AD335" s="333"/>
      <c r="AE335" s="5"/>
      <c r="AJ335" s="333"/>
      <c r="AK335" s="5"/>
      <c r="AP335" s="333"/>
      <c r="AQ335" s="5"/>
    </row>
    <row r="336" ht="15.75" customHeight="1">
      <c r="C336" s="4"/>
      <c r="D336" s="333"/>
      <c r="E336" s="5"/>
      <c r="F336" s="5"/>
      <c r="G336" s="5"/>
      <c r="H336" s="112"/>
      <c r="L336" s="4"/>
      <c r="M336" s="5"/>
      <c r="N336" s="112"/>
      <c r="R336" s="333"/>
      <c r="S336" s="5"/>
      <c r="T336" s="112"/>
      <c r="X336" s="333"/>
      <c r="Y336" s="5"/>
      <c r="AD336" s="333"/>
      <c r="AE336" s="5"/>
      <c r="AJ336" s="333"/>
      <c r="AK336" s="5"/>
      <c r="AP336" s="333"/>
      <c r="AQ336" s="5"/>
    </row>
    <row r="337" ht="15.75" customHeight="1">
      <c r="C337" s="4"/>
      <c r="D337" s="333"/>
      <c r="E337" s="5"/>
      <c r="F337" s="5"/>
      <c r="G337" s="5"/>
      <c r="H337" s="112"/>
      <c r="L337" s="4"/>
      <c r="M337" s="5"/>
      <c r="N337" s="112"/>
      <c r="R337" s="333"/>
      <c r="S337" s="5"/>
      <c r="T337" s="112"/>
      <c r="X337" s="333"/>
      <c r="Y337" s="5"/>
      <c r="AD337" s="333"/>
      <c r="AE337" s="5"/>
      <c r="AJ337" s="333"/>
      <c r="AK337" s="5"/>
      <c r="AP337" s="333"/>
      <c r="AQ337" s="5"/>
    </row>
    <row r="338" ht="15.75" customHeight="1">
      <c r="C338" s="4"/>
      <c r="D338" s="333"/>
      <c r="E338" s="5"/>
      <c r="F338" s="5"/>
      <c r="G338" s="5"/>
      <c r="H338" s="112"/>
      <c r="L338" s="4"/>
      <c r="M338" s="5"/>
      <c r="N338" s="112"/>
      <c r="R338" s="333"/>
      <c r="S338" s="5"/>
      <c r="T338" s="112"/>
      <c r="X338" s="333"/>
      <c r="Y338" s="5"/>
      <c r="AD338" s="333"/>
      <c r="AE338" s="5"/>
      <c r="AJ338" s="333"/>
      <c r="AK338" s="5"/>
      <c r="AP338" s="333"/>
      <c r="AQ338" s="5"/>
    </row>
    <row r="339" ht="15.75" customHeight="1">
      <c r="C339" s="4"/>
      <c r="D339" s="333"/>
      <c r="E339" s="5"/>
      <c r="F339" s="5"/>
      <c r="G339" s="5"/>
      <c r="H339" s="112"/>
      <c r="L339" s="4"/>
      <c r="M339" s="5"/>
      <c r="N339" s="112"/>
      <c r="R339" s="333"/>
      <c r="S339" s="5"/>
      <c r="T339" s="112"/>
      <c r="X339" s="333"/>
      <c r="Y339" s="5"/>
      <c r="AD339" s="333"/>
      <c r="AE339" s="5"/>
      <c r="AJ339" s="333"/>
      <c r="AK339" s="5"/>
      <c r="AP339" s="333"/>
      <c r="AQ339" s="5"/>
    </row>
    <row r="340" ht="15.75" customHeight="1">
      <c r="C340" s="4"/>
      <c r="D340" s="333"/>
      <c r="E340" s="5"/>
      <c r="F340" s="5"/>
      <c r="G340" s="5"/>
      <c r="H340" s="112"/>
      <c r="L340" s="4"/>
      <c r="M340" s="5"/>
      <c r="N340" s="112"/>
      <c r="R340" s="333"/>
      <c r="S340" s="5"/>
      <c r="T340" s="112"/>
      <c r="X340" s="333"/>
      <c r="Y340" s="5"/>
      <c r="AD340" s="333"/>
      <c r="AE340" s="5"/>
      <c r="AJ340" s="333"/>
      <c r="AK340" s="5"/>
      <c r="AP340" s="333"/>
      <c r="AQ340" s="5"/>
    </row>
    <row r="341" ht="15.75" customHeight="1">
      <c r="C341" s="4"/>
      <c r="D341" s="333"/>
      <c r="E341" s="5"/>
      <c r="F341" s="5"/>
      <c r="G341" s="5"/>
      <c r="H341" s="112"/>
      <c r="L341" s="4"/>
      <c r="M341" s="5"/>
      <c r="N341" s="112"/>
      <c r="R341" s="333"/>
      <c r="S341" s="5"/>
      <c r="T341" s="112"/>
      <c r="X341" s="333"/>
      <c r="Y341" s="5"/>
      <c r="AD341" s="333"/>
      <c r="AE341" s="5"/>
      <c r="AJ341" s="333"/>
      <c r="AK341" s="5"/>
      <c r="AP341" s="333"/>
      <c r="AQ341" s="5"/>
    </row>
    <row r="342" ht="15.75" customHeight="1">
      <c r="C342" s="4"/>
      <c r="D342" s="333"/>
      <c r="E342" s="5"/>
      <c r="F342" s="5"/>
      <c r="G342" s="5"/>
      <c r="H342" s="112"/>
      <c r="L342" s="4"/>
      <c r="M342" s="5"/>
      <c r="N342" s="112"/>
      <c r="R342" s="333"/>
      <c r="S342" s="5"/>
      <c r="T342" s="112"/>
      <c r="X342" s="333"/>
      <c r="Y342" s="5"/>
      <c r="AD342" s="333"/>
      <c r="AE342" s="5"/>
      <c r="AJ342" s="333"/>
      <c r="AK342" s="5"/>
      <c r="AP342" s="333"/>
      <c r="AQ342" s="5"/>
    </row>
    <row r="343" ht="15.75" customHeight="1">
      <c r="C343" s="4"/>
      <c r="D343" s="333"/>
      <c r="E343" s="5"/>
      <c r="F343" s="5"/>
      <c r="G343" s="5"/>
      <c r="H343" s="112"/>
      <c r="L343" s="4"/>
      <c r="M343" s="5"/>
      <c r="N343" s="112"/>
      <c r="R343" s="333"/>
      <c r="S343" s="5"/>
      <c r="T343" s="112"/>
      <c r="X343" s="333"/>
      <c r="Y343" s="5"/>
      <c r="AD343" s="333"/>
      <c r="AE343" s="5"/>
      <c r="AJ343" s="333"/>
      <c r="AK343" s="5"/>
      <c r="AP343" s="333"/>
      <c r="AQ343" s="5"/>
    </row>
    <row r="344" ht="15.75" customHeight="1">
      <c r="C344" s="4"/>
      <c r="D344" s="333"/>
      <c r="E344" s="5"/>
      <c r="F344" s="5"/>
      <c r="G344" s="5"/>
      <c r="H344" s="112"/>
      <c r="L344" s="4"/>
      <c r="M344" s="5"/>
      <c r="N344" s="112"/>
      <c r="R344" s="333"/>
      <c r="S344" s="5"/>
      <c r="T344" s="112"/>
      <c r="X344" s="333"/>
      <c r="Y344" s="5"/>
      <c r="AD344" s="333"/>
      <c r="AE344" s="5"/>
      <c r="AJ344" s="333"/>
      <c r="AK344" s="5"/>
      <c r="AP344" s="333"/>
      <c r="AQ344" s="5"/>
    </row>
    <row r="345" ht="15.75" customHeight="1">
      <c r="C345" s="4"/>
      <c r="D345" s="333"/>
      <c r="E345" s="5"/>
      <c r="F345" s="5"/>
      <c r="G345" s="5"/>
      <c r="H345" s="112"/>
      <c r="L345" s="4"/>
      <c r="M345" s="5"/>
      <c r="N345" s="112"/>
      <c r="R345" s="333"/>
      <c r="S345" s="5"/>
      <c r="T345" s="112"/>
      <c r="X345" s="333"/>
      <c r="Y345" s="5"/>
      <c r="AD345" s="333"/>
      <c r="AE345" s="5"/>
      <c r="AJ345" s="333"/>
      <c r="AK345" s="5"/>
      <c r="AP345" s="333"/>
      <c r="AQ345" s="5"/>
    </row>
    <row r="346" ht="15.75" customHeight="1">
      <c r="C346" s="4"/>
      <c r="D346" s="333"/>
      <c r="E346" s="5"/>
      <c r="F346" s="5"/>
      <c r="G346" s="5"/>
      <c r="H346" s="112"/>
      <c r="L346" s="4"/>
      <c r="M346" s="5"/>
      <c r="N346" s="112"/>
      <c r="R346" s="333"/>
      <c r="S346" s="5"/>
      <c r="T346" s="112"/>
      <c r="X346" s="333"/>
      <c r="Y346" s="5"/>
      <c r="AD346" s="333"/>
      <c r="AE346" s="5"/>
      <c r="AJ346" s="333"/>
      <c r="AK346" s="5"/>
      <c r="AP346" s="333"/>
      <c r="AQ346" s="5"/>
    </row>
    <row r="347" ht="15.75" customHeight="1">
      <c r="C347" s="4"/>
      <c r="D347" s="333"/>
      <c r="E347" s="5"/>
      <c r="F347" s="5"/>
      <c r="G347" s="5"/>
      <c r="H347" s="112"/>
      <c r="L347" s="4"/>
      <c r="M347" s="5"/>
      <c r="N347" s="112"/>
      <c r="R347" s="333"/>
      <c r="S347" s="5"/>
      <c r="T347" s="112"/>
      <c r="X347" s="333"/>
      <c r="Y347" s="5"/>
      <c r="AD347" s="333"/>
      <c r="AE347" s="5"/>
      <c r="AJ347" s="333"/>
      <c r="AK347" s="5"/>
      <c r="AP347" s="333"/>
      <c r="AQ347" s="5"/>
    </row>
    <row r="348" ht="15.75" customHeight="1">
      <c r="C348" s="4"/>
      <c r="D348" s="333"/>
      <c r="E348" s="5"/>
      <c r="F348" s="5"/>
      <c r="G348" s="5"/>
      <c r="H348" s="112"/>
      <c r="L348" s="4"/>
      <c r="M348" s="5"/>
      <c r="N348" s="112"/>
      <c r="R348" s="333"/>
      <c r="S348" s="5"/>
      <c r="T348" s="112"/>
      <c r="X348" s="333"/>
      <c r="Y348" s="5"/>
      <c r="AD348" s="333"/>
      <c r="AE348" s="5"/>
      <c r="AJ348" s="333"/>
      <c r="AK348" s="5"/>
      <c r="AP348" s="333"/>
      <c r="AQ348" s="5"/>
    </row>
    <row r="349" ht="15.75" customHeight="1">
      <c r="C349" s="4"/>
      <c r="D349" s="333"/>
      <c r="E349" s="5"/>
      <c r="F349" s="5"/>
      <c r="G349" s="5"/>
      <c r="H349" s="112"/>
      <c r="L349" s="4"/>
      <c r="M349" s="5"/>
      <c r="N349" s="112"/>
      <c r="R349" s="333"/>
      <c r="S349" s="5"/>
      <c r="T349" s="112"/>
      <c r="X349" s="333"/>
      <c r="Y349" s="5"/>
      <c r="AD349" s="333"/>
      <c r="AE349" s="5"/>
      <c r="AJ349" s="333"/>
      <c r="AK349" s="5"/>
      <c r="AP349" s="333"/>
      <c r="AQ349" s="5"/>
    </row>
    <row r="350" ht="15.75" customHeight="1">
      <c r="C350" s="4"/>
      <c r="D350" s="333"/>
      <c r="E350" s="5"/>
      <c r="F350" s="5"/>
      <c r="G350" s="5"/>
      <c r="H350" s="112"/>
      <c r="L350" s="4"/>
      <c r="M350" s="5"/>
      <c r="N350" s="112"/>
      <c r="R350" s="333"/>
      <c r="S350" s="5"/>
      <c r="T350" s="112"/>
      <c r="X350" s="333"/>
      <c r="Y350" s="5"/>
      <c r="AD350" s="333"/>
      <c r="AE350" s="5"/>
      <c r="AJ350" s="333"/>
      <c r="AK350" s="5"/>
      <c r="AP350" s="333"/>
      <c r="AQ350" s="5"/>
    </row>
    <row r="351" ht="15.75" customHeight="1">
      <c r="C351" s="4"/>
      <c r="D351" s="333"/>
      <c r="E351" s="5"/>
      <c r="F351" s="5"/>
      <c r="G351" s="5"/>
      <c r="H351" s="112"/>
      <c r="L351" s="4"/>
      <c r="M351" s="5"/>
      <c r="N351" s="112"/>
      <c r="R351" s="333"/>
      <c r="S351" s="5"/>
      <c r="T351" s="112"/>
      <c r="X351" s="333"/>
      <c r="Y351" s="5"/>
      <c r="AD351" s="333"/>
      <c r="AE351" s="5"/>
      <c r="AJ351" s="333"/>
      <c r="AK351" s="5"/>
      <c r="AP351" s="333"/>
      <c r="AQ351" s="5"/>
    </row>
    <row r="352" ht="15.75" customHeight="1">
      <c r="C352" s="4"/>
      <c r="D352" s="333"/>
      <c r="E352" s="5"/>
      <c r="F352" s="5"/>
      <c r="G352" s="5"/>
      <c r="H352" s="112"/>
      <c r="L352" s="4"/>
      <c r="M352" s="5"/>
      <c r="N352" s="112"/>
      <c r="R352" s="333"/>
      <c r="S352" s="5"/>
      <c r="T352" s="112"/>
      <c r="X352" s="333"/>
      <c r="Y352" s="5"/>
      <c r="AD352" s="333"/>
      <c r="AE352" s="5"/>
      <c r="AJ352" s="333"/>
      <c r="AK352" s="5"/>
      <c r="AP352" s="333"/>
      <c r="AQ352" s="5"/>
    </row>
    <row r="353" ht="15.75" customHeight="1">
      <c r="C353" s="4"/>
      <c r="D353" s="333"/>
      <c r="E353" s="5"/>
      <c r="F353" s="5"/>
      <c r="G353" s="5"/>
      <c r="H353" s="112"/>
      <c r="L353" s="4"/>
      <c r="M353" s="5"/>
      <c r="N353" s="112"/>
      <c r="R353" s="333"/>
      <c r="S353" s="5"/>
      <c r="T353" s="112"/>
      <c r="X353" s="333"/>
      <c r="Y353" s="5"/>
      <c r="AD353" s="333"/>
      <c r="AE353" s="5"/>
      <c r="AJ353" s="333"/>
      <c r="AK353" s="5"/>
      <c r="AP353" s="333"/>
      <c r="AQ353" s="5"/>
    </row>
    <row r="354" ht="15.75" customHeight="1">
      <c r="C354" s="4"/>
      <c r="D354" s="333"/>
      <c r="E354" s="5"/>
      <c r="F354" s="5"/>
      <c r="G354" s="5"/>
      <c r="H354" s="112"/>
      <c r="L354" s="4"/>
      <c r="M354" s="5"/>
      <c r="N354" s="112"/>
      <c r="R354" s="333"/>
      <c r="S354" s="5"/>
      <c r="T354" s="112"/>
      <c r="X354" s="333"/>
      <c r="Y354" s="5"/>
      <c r="AD354" s="333"/>
      <c r="AE354" s="5"/>
      <c r="AJ354" s="333"/>
      <c r="AK354" s="5"/>
      <c r="AP354" s="333"/>
      <c r="AQ354" s="5"/>
    </row>
    <row r="355" ht="15.75" customHeight="1">
      <c r="C355" s="4"/>
      <c r="D355" s="333"/>
      <c r="E355" s="5"/>
      <c r="F355" s="5"/>
      <c r="G355" s="5"/>
      <c r="H355" s="112"/>
      <c r="L355" s="4"/>
      <c r="M355" s="5"/>
      <c r="N355" s="112"/>
      <c r="R355" s="333"/>
      <c r="S355" s="5"/>
      <c r="T355" s="112"/>
      <c r="X355" s="333"/>
      <c r="Y355" s="5"/>
      <c r="AD355" s="333"/>
      <c r="AE355" s="5"/>
      <c r="AJ355" s="333"/>
      <c r="AK355" s="5"/>
      <c r="AP355" s="333"/>
      <c r="AQ355" s="5"/>
    </row>
    <row r="356" ht="15.75" customHeight="1">
      <c r="C356" s="4"/>
      <c r="D356" s="333"/>
      <c r="E356" s="5"/>
      <c r="F356" s="5"/>
      <c r="G356" s="5"/>
      <c r="H356" s="112"/>
      <c r="L356" s="4"/>
      <c r="M356" s="5"/>
      <c r="N356" s="112"/>
      <c r="R356" s="333"/>
      <c r="S356" s="5"/>
      <c r="T356" s="112"/>
      <c r="X356" s="333"/>
      <c r="Y356" s="5"/>
      <c r="AD356" s="333"/>
      <c r="AE356" s="5"/>
      <c r="AJ356" s="333"/>
      <c r="AK356" s="5"/>
      <c r="AP356" s="333"/>
      <c r="AQ356" s="5"/>
    </row>
    <row r="357" ht="15.75" customHeight="1">
      <c r="C357" s="4"/>
      <c r="D357" s="333"/>
      <c r="E357" s="5"/>
      <c r="F357" s="5"/>
      <c r="G357" s="5"/>
      <c r="H357" s="112"/>
      <c r="L357" s="4"/>
      <c r="M357" s="5"/>
      <c r="N357" s="112"/>
      <c r="R357" s="333"/>
      <c r="S357" s="5"/>
      <c r="T357" s="112"/>
      <c r="X357" s="333"/>
      <c r="Y357" s="5"/>
      <c r="AD357" s="333"/>
      <c r="AE357" s="5"/>
      <c r="AJ357" s="333"/>
      <c r="AK357" s="5"/>
      <c r="AP357" s="333"/>
      <c r="AQ357" s="5"/>
    </row>
    <row r="358" ht="15.75" customHeight="1">
      <c r="C358" s="4"/>
      <c r="D358" s="333"/>
      <c r="E358" s="5"/>
      <c r="F358" s="5"/>
      <c r="G358" s="5"/>
      <c r="H358" s="112"/>
      <c r="L358" s="4"/>
      <c r="M358" s="5"/>
      <c r="N358" s="112"/>
      <c r="R358" s="333"/>
      <c r="S358" s="5"/>
      <c r="T358" s="112"/>
      <c r="X358" s="333"/>
      <c r="Y358" s="5"/>
      <c r="AD358" s="333"/>
      <c r="AE358" s="5"/>
      <c r="AJ358" s="333"/>
      <c r="AK358" s="5"/>
      <c r="AP358" s="333"/>
      <c r="AQ358" s="5"/>
    </row>
    <row r="359" ht="15.75" customHeight="1">
      <c r="C359" s="4"/>
      <c r="D359" s="333"/>
      <c r="E359" s="5"/>
      <c r="F359" s="5"/>
      <c r="G359" s="5"/>
      <c r="H359" s="112"/>
      <c r="L359" s="4"/>
      <c r="M359" s="5"/>
      <c r="N359" s="112"/>
      <c r="R359" s="333"/>
      <c r="S359" s="5"/>
      <c r="T359" s="112"/>
      <c r="X359" s="333"/>
      <c r="Y359" s="5"/>
      <c r="AD359" s="333"/>
      <c r="AE359" s="5"/>
      <c r="AJ359" s="333"/>
      <c r="AK359" s="5"/>
      <c r="AP359" s="333"/>
      <c r="AQ359" s="5"/>
    </row>
    <row r="360" ht="15.75" customHeight="1">
      <c r="C360" s="4"/>
      <c r="D360" s="333"/>
      <c r="E360" s="5"/>
      <c r="F360" s="5"/>
      <c r="G360" s="5"/>
      <c r="H360" s="112"/>
      <c r="L360" s="4"/>
      <c r="M360" s="5"/>
      <c r="N360" s="112"/>
      <c r="R360" s="333"/>
      <c r="S360" s="5"/>
      <c r="T360" s="112"/>
      <c r="X360" s="333"/>
      <c r="Y360" s="5"/>
      <c r="AD360" s="333"/>
      <c r="AE360" s="5"/>
      <c r="AJ360" s="333"/>
      <c r="AK360" s="5"/>
      <c r="AP360" s="333"/>
      <c r="AQ360" s="5"/>
    </row>
    <row r="361" ht="15.75" customHeight="1">
      <c r="C361" s="4"/>
      <c r="D361" s="333"/>
      <c r="E361" s="5"/>
      <c r="F361" s="5"/>
      <c r="G361" s="5"/>
      <c r="H361" s="112"/>
      <c r="L361" s="4"/>
      <c r="M361" s="5"/>
      <c r="N361" s="112"/>
      <c r="R361" s="333"/>
      <c r="S361" s="5"/>
      <c r="T361" s="112"/>
      <c r="X361" s="333"/>
      <c r="Y361" s="5"/>
      <c r="AD361" s="333"/>
      <c r="AE361" s="5"/>
      <c r="AJ361" s="333"/>
      <c r="AK361" s="5"/>
      <c r="AP361" s="333"/>
      <c r="AQ361" s="5"/>
    </row>
    <row r="362" ht="15.75" customHeight="1">
      <c r="C362" s="4"/>
      <c r="D362" s="333"/>
      <c r="E362" s="5"/>
      <c r="F362" s="5"/>
      <c r="G362" s="5"/>
      <c r="H362" s="112"/>
      <c r="L362" s="4"/>
      <c r="M362" s="5"/>
      <c r="N362" s="112"/>
      <c r="R362" s="333"/>
      <c r="S362" s="5"/>
      <c r="T362" s="112"/>
      <c r="X362" s="333"/>
      <c r="Y362" s="5"/>
      <c r="AD362" s="333"/>
      <c r="AE362" s="5"/>
      <c r="AJ362" s="333"/>
      <c r="AK362" s="5"/>
      <c r="AP362" s="333"/>
      <c r="AQ362" s="5"/>
    </row>
    <row r="363" ht="15.75" customHeight="1">
      <c r="C363" s="4"/>
      <c r="D363" s="333"/>
      <c r="E363" s="5"/>
      <c r="F363" s="5"/>
      <c r="G363" s="5"/>
      <c r="H363" s="112"/>
      <c r="L363" s="4"/>
      <c r="M363" s="5"/>
      <c r="N363" s="112"/>
      <c r="R363" s="333"/>
      <c r="S363" s="5"/>
      <c r="T363" s="112"/>
      <c r="X363" s="333"/>
      <c r="Y363" s="5"/>
      <c r="AD363" s="333"/>
      <c r="AE363" s="5"/>
      <c r="AJ363" s="333"/>
      <c r="AK363" s="5"/>
      <c r="AP363" s="333"/>
      <c r="AQ363" s="5"/>
    </row>
    <row r="364" ht="15.75" customHeight="1">
      <c r="C364" s="4"/>
      <c r="D364" s="333"/>
      <c r="E364" s="5"/>
      <c r="F364" s="5"/>
      <c r="G364" s="5"/>
      <c r="H364" s="112"/>
      <c r="L364" s="4"/>
      <c r="M364" s="5"/>
      <c r="N364" s="112"/>
      <c r="R364" s="333"/>
      <c r="S364" s="5"/>
      <c r="T364" s="112"/>
      <c r="X364" s="333"/>
      <c r="Y364" s="5"/>
      <c r="AD364" s="333"/>
      <c r="AE364" s="5"/>
      <c r="AJ364" s="333"/>
      <c r="AK364" s="5"/>
      <c r="AP364" s="333"/>
      <c r="AQ364" s="5"/>
    </row>
    <row r="365" ht="15.75" customHeight="1">
      <c r="C365" s="4"/>
      <c r="D365" s="333"/>
      <c r="E365" s="5"/>
      <c r="F365" s="5"/>
      <c r="G365" s="5"/>
      <c r="H365" s="112"/>
      <c r="L365" s="4"/>
      <c r="M365" s="5"/>
      <c r="N365" s="112"/>
      <c r="R365" s="333"/>
      <c r="S365" s="5"/>
      <c r="T365" s="112"/>
      <c r="X365" s="333"/>
      <c r="Y365" s="5"/>
      <c r="AD365" s="333"/>
      <c r="AE365" s="5"/>
      <c r="AJ365" s="333"/>
      <c r="AK365" s="5"/>
      <c r="AP365" s="333"/>
      <c r="AQ365" s="5"/>
    </row>
    <row r="366" ht="15.75" customHeight="1">
      <c r="C366" s="4"/>
      <c r="D366" s="333"/>
      <c r="E366" s="5"/>
      <c r="F366" s="5"/>
      <c r="G366" s="5"/>
      <c r="H366" s="112"/>
      <c r="L366" s="4"/>
      <c r="M366" s="5"/>
      <c r="N366" s="112"/>
      <c r="R366" s="333"/>
      <c r="S366" s="5"/>
      <c r="T366" s="112"/>
      <c r="X366" s="333"/>
      <c r="Y366" s="5"/>
      <c r="AD366" s="333"/>
      <c r="AE366" s="5"/>
      <c r="AJ366" s="333"/>
      <c r="AK366" s="5"/>
      <c r="AP366" s="333"/>
      <c r="AQ366" s="5"/>
    </row>
    <row r="367" ht="15.75" customHeight="1">
      <c r="C367" s="4"/>
      <c r="D367" s="333"/>
      <c r="E367" s="5"/>
      <c r="F367" s="5"/>
      <c r="G367" s="5"/>
      <c r="H367" s="112"/>
      <c r="L367" s="4"/>
      <c r="M367" s="5"/>
      <c r="N367" s="112"/>
      <c r="R367" s="333"/>
      <c r="S367" s="5"/>
      <c r="T367" s="112"/>
      <c r="X367" s="333"/>
      <c r="Y367" s="5"/>
      <c r="AD367" s="333"/>
      <c r="AE367" s="5"/>
      <c r="AJ367" s="333"/>
      <c r="AK367" s="5"/>
      <c r="AP367" s="333"/>
      <c r="AQ367" s="5"/>
    </row>
    <row r="368" ht="15.75" customHeight="1">
      <c r="C368" s="4"/>
      <c r="D368" s="333"/>
      <c r="E368" s="5"/>
      <c r="F368" s="5"/>
      <c r="G368" s="5"/>
      <c r="H368" s="112"/>
      <c r="L368" s="4"/>
      <c r="M368" s="5"/>
      <c r="N368" s="112"/>
      <c r="R368" s="333"/>
      <c r="S368" s="5"/>
      <c r="T368" s="112"/>
      <c r="X368" s="333"/>
      <c r="Y368" s="5"/>
      <c r="AD368" s="333"/>
      <c r="AE368" s="5"/>
      <c r="AJ368" s="333"/>
      <c r="AK368" s="5"/>
      <c r="AP368" s="333"/>
      <c r="AQ368" s="5"/>
    </row>
    <row r="369" ht="15.75" customHeight="1">
      <c r="C369" s="4"/>
      <c r="D369" s="333"/>
      <c r="E369" s="5"/>
      <c r="F369" s="5"/>
      <c r="G369" s="5"/>
      <c r="H369" s="112"/>
      <c r="L369" s="4"/>
      <c r="M369" s="5"/>
      <c r="N369" s="112"/>
      <c r="R369" s="333"/>
      <c r="S369" s="5"/>
      <c r="T369" s="112"/>
      <c r="X369" s="333"/>
      <c r="Y369" s="5"/>
      <c r="AD369" s="333"/>
      <c r="AE369" s="5"/>
      <c r="AJ369" s="333"/>
      <c r="AK369" s="5"/>
      <c r="AP369" s="333"/>
      <c r="AQ369" s="5"/>
    </row>
    <row r="370" ht="15.75" customHeight="1">
      <c r="C370" s="4"/>
      <c r="D370" s="333"/>
      <c r="E370" s="5"/>
      <c r="F370" s="5"/>
      <c r="G370" s="5"/>
      <c r="H370" s="112"/>
      <c r="L370" s="4"/>
      <c r="M370" s="5"/>
      <c r="N370" s="112"/>
      <c r="R370" s="333"/>
      <c r="S370" s="5"/>
      <c r="T370" s="112"/>
      <c r="X370" s="333"/>
      <c r="Y370" s="5"/>
      <c r="AD370" s="333"/>
      <c r="AE370" s="5"/>
      <c r="AJ370" s="333"/>
      <c r="AK370" s="5"/>
      <c r="AP370" s="333"/>
      <c r="AQ370" s="5"/>
    </row>
    <row r="371" ht="15.75" customHeight="1">
      <c r="C371" s="4"/>
      <c r="D371" s="333"/>
      <c r="E371" s="5"/>
      <c r="F371" s="5"/>
      <c r="G371" s="5"/>
      <c r="H371" s="112"/>
      <c r="L371" s="4"/>
      <c r="M371" s="5"/>
      <c r="N371" s="112"/>
      <c r="R371" s="333"/>
      <c r="S371" s="5"/>
      <c r="T371" s="112"/>
      <c r="X371" s="333"/>
      <c r="Y371" s="5"/>
      <c r="AD371" s="333"/>
      <c r="AE371" s="5"/>
      <c r="AJ371" s="333"/>
      <c r="AK371" s="5"/>
      <c r="AP371" s="333"/>
      <c r="AQ371" s="5"/>
    </row>
    <row r="372" ht="15.75" customHeight="1">
      <c r="C372" s="4"/>
      <c r="D372" s="333"/>
      <c r="E372" s="5"/>
      <c r="F372" s="5"/>
      <c r="G372" s="5"/>
      <c r="H372" s="112"/>
      <c r="L372" s="4"/>
      <c r="M372" s="5"/>
      <c r="N372" s="112"/>
      <c r="R372" s="333"/>
      <c r="S372" s="5"/>
      <c r="T372" s="112"/>
      <c r="X372" s="333"/>
      <c r="Y372" s="5"/>
      <c r="AD372" s="333"/>
      <c r="AE372" s="5"/>
      <c r="AJ372" s="333"/>
      <c r="AK372" s="5"/>
      <c r="AP372" s="333"/>
      <c r="AQ372" s="5"/>
    </row>
    <row r="373" ht="15.75" customHeight="1">
      <c r="C373" s="4"/>
      <c r="D373" s="333"/>
      <c r="E373" s="5"/>
      <c r="F373" s="5"/>
      <c r="G373" s="5"/>
      <c r="H373" s="112"/>
      <c r="L373" s="4"/>
      <c r="M373" s="5"/>
      <c r="N373" s="112"/>
      <c r="R373" s="333"/>
      <c r="S373" s="5"/>
      <c r="T373" s="112"/>
      <c r="X373" s="333"/>
      <c r="Y373" s="5"/>
      <c r="AD373" s="333"/>
      <c r="AE373" s="5"/>
      <c r="AJ373" s="333"/>
      <c r="AK373" s="5"/>
      <c r="AP373" s="333"/>
      <c r="AQ373" s="5"/>
    </row>
    <row r="374" ht="15.75" customHeight="1">
      <c r="C374" s="4"/>
      <c r="D374" s="333"/>
      <c r="E374" s="5"/>
      <c r="F374" s="5"/>
      <c r="G374" s="5"/>
      <c r="H374" s="112"/>
      <c r="L374" s="4"/>
      <c r="M374" s="5"/>
      <c r="N374" s="112"/>
      <c r="R374" s="333"/>
      <c r="S374" s="5"/>
      <c r="T374" s="112"/>
      <c r="X374" s="333"/>
      <c r="Y374" s="5"/>
      <c r="AD374" s="333"/>
      <c r="AE374" s="5"/>
      <c r="AJ374" s="333"/>
      <c r="AK374" s="5"/>
      <c r="AP374" s="333"/>
      <c r="AQ374" s="5"/>
    </row>
    <row r="375" ht="15.75" customHeight="1">
      <c r="C375" s="4"/>
      <c r="D375" s="333"/>
      <c r="E375" s="5"/>
      <c r="F375" s="5"/>
      <c r="G375" s="5"/>
      <c r="H375" s="112"/>
      <c r="L375" s="4"/>
      <c r="M375" s="5"/>
      <c r="N375" s="112"/>
      <c r="R375" s="333"/>
      <c r="S375" s="5"/>
      <c r="T375" s="112"/>
      <c r="X375" s="333"/>
      <c r="Y375" s="5"/>
      <c r="AD375" s="333"/>
      <c r="AE375" s="5"/>
      <c r="AJ375" s="333"/>
      <c r="AK375" s="5"/>
      <c r="AP375" s="333"/>
      <c r="AQ375" s="5"/>
    </row>
    <row r="376" ht="15.75" customHeight="1">
      <c r="C376" s="4"/>
      <c r="D376" s="333"/>
      <c r="E376" s="5"/>
      <c r="F376" s="5"/>
      <c r="G376" s="5"/>
      <c r="H376" s="112"/>
      <c r="L376" s="4"/>
      <c r="M376" s="5"/>
      <c r="N376" s="112"/>
      <c r="R376" s="333"/>
      <c r="S376" s="5"/>
      <c r="T376" s="112"/>
      <c r="X376" s="333"/>
      <c r="Y376" s="5"/>
      <c r="AD376" s="333"/>
      <c r="AE376" s="5"/>
      <c r="AJ376" s="333"/>
      <c r="AK376" s="5"/>
      <c r="AP376" s="333"/>
      <c r="AQ376" s="5"/>
    </row>
    <row r="377" ht="15.75" customHeight="1">
      <c r="C377" s="4"/>
      <c r="D377" s="333"/>
      <c r="E377" s="5"/>
      <c r="F377" s="5"/>
      <c r="G377" s="5"/>
      <c r="H377" s="112"/>
      <c r="L377" s="4"/>
      <c r="M377" s="5"/>
      <c r="N377" s="112"/>
      <c r="R377" s="333"/>
      <c r="S377" s="5"/>
      <c r="T377" s="112"/>
      <c r="X377" s="333"/>
      <c r="Y377" s="5"/>
      <c r="AD377" s="333"/>
      <c r="AE377" s="5"/>
      <c r="AJ377" s="333"/>
      <c r="AK377" s="5"/>
      <c r="AP377" s="333"/>
      <c r="AQ377" s="5"/>
    </row>
    <row r="378" ht="15.75" customHeight="1">
      <c r="C378" s="4"/>
      <c r="D378" s="333"/>
      <c r="E378" s="5"/>
      <c r="F378" s="5"/>
      <c r="G378" s="5"/>
      <c r="H378" s="112"/>
      <c r="L378" s="4"/>
      <c r="M378" s="5"/>
      <c r="N378" s="112"/>
      <c r="R378" s="333"/>
      <c r="S378" s="5"/>
      <c r="T378" s="112"/>
      <c r="X378" s="333"/>
      <c r="Y378" s="5"/>
      <c r="AD378" s="333"/>
      <c r="AE378" s="5"/>
      <c r="AJ378" s="333"/>
      <c r="AK378" s="5"/>
      <c r="AP378" s="333"/>
      <c r="AQ378" s="5"/>
    </row>
    <row r="379" ht="15.75" customHeight="1">
      <c r="C379" s="4"/>
      <c r="D379" s="333"/>
      <c r="E379" s="5"/>
      <c r="F379" s="5"/>
      <c r="G379" s="5"/>
      <c r="H379" s="112"/>
      <c r="L379" s="4"/>
      <c r="M379" s="5"/>
      <c r="N379" s="112"/>
      <c r="R379" s="333"/>
      <c r="S379" s="5"/>
      <c r="T379" s="112"/>
      <c r="X379" s="333"/>
      <c r="Y379" s="5"/>
      <c r="AD379" s="333"/>
      <c r="AE379" s="5"/>
      <c r="AJ379" s="333"/>
      <c r="AK379" s="5"/>
      <c r="AP379" s="333"/>
      <c r="AQ379" s="5"/>
    </row>
    <row r="380" ht="15.75" customHeight="1">
      <c r="C380" s="4"/>
      <c r="D380" s="333"/>
      <c r="E380" s="5"/>
      <c r="F380" s="5"/>
      <c r="G380" s="5"/>
      <c r="H380" s="112"/>
      <c r="L380" s="4"/>
      <c r="M380" s="5"/>
      <c r="N380" s="112"/>
      <c r="R380" s="333"/>
      <c r="S380" s="5"/>
      <c r="T380" s="112"/>
      <c r="X380" s="333"/>
      <c r="Y380" s="5"/>
      <c r="AD380" s="333"/>
      <c r="AE380" s="5"/>
      <c r="AJ380" s="333"/>
      <c r="AK380" s="5"/>
      <c r="AP380" s="333"/>
      <c r="AQ380" s="5"/>
    </row>
    <row r="381" ht="15.75" customHeight="1">
      <c r="C381" s="4"/>
      <c r="D381" s="333"/>
      <c r="E381" s="5"/>
      <c r="F381" s="5"/>
      <c r="G381" s="5"/>
      <c r="H381" s="112"/>
      <c r="L381" s="4"/>
      <c r="M381" s="5"/>
      <c r="N381" s="112"/>
      <c r="R381" s="333"/>
      <c r="S381" s="5"/>
      <c r="T381" s="112"/>
      <c r="X381" s="333"/>
      <c r="Y381" s="5"/>
      <c r="AD381" s="333"/>
      <c r="AE381" s="5"/>
      <c r="AJ381" s="333"/>
      <c r="AK381" s="5"/>
      <c r="AP381" s="333"/>
      <c r="AQ381" s="5"/>
    </row>
    <row r="382" ht="15.75" customHeight="1">
      <c r="C382" s="4"/>
      <c r="D382" s="333"/>
      <c r="E382" s="5"/>
      <c r="F382" s="5"/>
      <c r="G382" s="5"/>
      <c r="H382" s="112"/>
      <c r="L382" s="4"/>
      <c r="M382" s="5"/>
      <c r="N382" s="112"/>
      <c r="R382" s="333"/>
      <c r="S382" s="5"/>
      <c r="T382" s="112"/>
      <c r="X382" s="333"/>
      <c r="Y382" s="5"/>
      <c r="AD382" s="333"/>
      <c r="AE382" s="5"/>
      <c r="AJ382" s="333"/>
      <c r="AK382" s="5"/>
      <c r="AP382" s="333"/>
      <c r="AQ382" s="5"/>
    </row>
    <row r="383" ht="15.75" customHeight="1">
      <c r="C383" s="4"/>
      <c r="D383" s="333"/>
      <c r="E383" s="5"/>
      <c r="F383" s="5"/>
      <c r="G383" s="5"/>
      <c r="H383" s="112"/>
      <c r="L383" s="4"/>
      <c r="M383" s="5"/>
      <c r="N383" s="112"/>
      <c r="R383" s="333"/>
      <c r="S383" s="5"/>
      <c r="T383" s="112"/>
      <c r="X383" s="333"/>
      <c r="Y383" s="5"/>
      <c r="AD383" s="333"/>
      <c r="AE383" s="5"/>
      <c r="AJ383" s="333"/>
      <c r="AK383" s="5"/>
      <c r="AP383" s="333"/>
      <c r="AQ383" s="5"/>
    </row>
    <row r="384" ht="15.75" customHeight="1">
      <c r="C384" s="4"/>
      <c r="D384" s="333"/>
      <c r="E384" s="5"/>
      <c r="F384" s="5"/>
      <c r="G384" s="5"/>
      <c r="H384" s="112"/>
      <c r="L384" s="4"/>
      <c r="M384" s="5"/>
      <c r="N384" s="112"/>
      <c r="R384" s="333"/>
      <c r="S384" s="5"/>
      <c r="T384" s="112"/>
      <c r="X384" s="333"/>
      <c r="Y384" s="5"/>
      <c r="AD384" s="333"/>
      <c r="AE384" s="5"/>
      <c r="AJ384" s="333"/>
      <c r="AK384" s="5"/>
      <c r="AP384" s="333"/>
      <c r="AQ384" s="5"/>
    </row>
    <row r="385" ht="15.75" customHeight="1">
      <c r="C385" s="4"/>
      <c r="D385" s="333"/>
      <c r="E385" s="5"/>
      <c r="F385" s="5"/>
      <c r="G385" s="5"/>
      <c r="H385" s="112"/>
      <c r="L385" s="4"/>
      <c r="M385" s="5"/>
      <c r="N385" s="112"/>
      <c r="R385" s="333"/>
      <c r="S385" s="5"/>
      <c r="T385" s="112"/>
      <c r="X385" s="333"/>
      <c r="Y385" s="5"/>
      <c r="AD385" s="333"/>
      <c r="AE385" s="5"/>
      <c r="AJ385" s="333"/>
      <c r="AK385" s="5"/>
      <c r="AP385" s="333"/>
      <c r="AQ385" s="5"/>
    </row>
    <row r="386" ht="15.75" customHeight="1">
      <c r="C386" s="4"/>
      <c r="D386" s="333"/>
      <c r="E386" s="5"/>
      <c r="F386" s="5"/>
      <c r="G386" s="5"/>
      <c r="H386" s="112"/>
      <c r="L386" s="4"/>
      <c r="M386" s="5"/>
      <c r="N386" s="112"/>
      <c r="R386" s="333"/>
      <c r="S386" s="5"/>
      <c r="T386" s="112"/>
      <c r="X386" s="333"/>
      <c r="Y386" s="5"/>
      <c r="AD386" s="333"/>
      <c r="AE386" s="5"/>
      <c r="AJ386" s="333"/>
      <c r="AK386" s="5"/>
      <c r="AP386" s="333"/>
      <c r="AQ386" s="5"/>
    </row>
    <row r="387" ht="15.75" customHeight="1">
      <c r="C387" s="4"/>
      <c r="D387" s="333"/>
      <c r="E387" s="5"/>
      <c r="F387" s="5"/>
      <c r="G387" s="5"/>
      <c r="H387" s="112"/>
      <c r="L387" s="4"/>
      <c r="M387" s="5"/>
      <c r="N387" s="112"/>
      <c r="R387" s="333"/>
      <c r="S387" s="5"/>
      <c r="T387" s="112"/>
      <c r="X387" s="333"/>
      <c r="Y387" s="5"/>
      <c r="AD387" s="333"/>
      <c r="AE387" s="5"/>
      <c r="AJ387" s="333"/>
      <c r="AK387" s="5"/>
      <c r="AP387" s="333"/>
      <c r="AQ387" s="5"/>
    </row>
    <row r="388" ht="15.75" customHeight="1">
      <c r="C388" s="4"/>
      <c r="D388" s="333"/>
      <c r="E388" s="5"/>
      <c r="F388" s="5"/>
      <c r="G388" s="5"/>
      <c r="H388" s="112"/>
      <c r="L388" s="4"/>
      <c r="M388" s="5"/>
      <c r="N388" s="112"/>
      <c r="R388" s="333"/>
      <c r="S388" s="5"/>
      <c r="T388" s="112"/>
      <c r="X388" s="333"/>
      <c r="Y388" s="5"/>
      <c r="AD388" s="333"/>
      <c r="AE388" s="5"/>
      <c r="AJ388" s="333"/>
      <c r="AK388" s="5"/>
      <c r="AP388" s="333"/>
      <c r="AQ388" s="5"/>
    </row>
    <row r="389" ht="15.75" customHeight="1">
      <c r="C389" s="4"/>
      <c r="D389" s="333"/>
      <c r="E389" s="5"/>
      <c r="F389" s="5"/>
      <c r="G389" s="5"/>
      <c r="H389" s="112"/>
      <c r="L389" s="4"/>
      <c r="M389" s="5"/>
      <c r="N389" s="112"/>
      <c r="R389" s="333"/>
      <c r="S389" s="5"/>
      <c r="T389" s="112"/>
      <c r="X389" s="333"/>
      <c r="Y389" s="5"/>
      <c r="AD389" s="333"/>
      <c r="AE389" s="5"/>
      <c r="AJ389" s="333"/>
      <c r="AK389" s="5"/>
      <c r="AP389" s="333"/>
      <c r="AQ389" s="5"/>
    </row>
    <row r="390" ht="15.75" customHeight="1">
      <c r="C390" s="4"/>
      <c r="D390" s="333"/>
      <c r="E390" s="5"/>
      <c r="F390" s="5"/>
      <c r="G390" s="5"/>
      <c r="H390" s="112"/>
      <c r="L390" s="4"/>
      <c r="M390" s="5"/>
      <c r="N390" s="112"/>
      <c r="R390" s="333"/>
      <c r="S390" s="5"/>
      <c r="T390" s="112"/>
      <c r="X390" s="333"/>
      <c r="Y390" s="5"/>
      <c r="AD390" s="333"/>
      <c r="AE390" s="5"/>
      <c r="AJ390" s="333"/>
      <c r="AK390" s="5"/>
      <c r="AP390" s="333"/>
      <c r="AQ390" s="5"/>
    </row>
    <row r="391" ht="15.75" customHeight="1">
      <c r="C391" s="4"/>
      <c r="D391" s="333"/>
      <c r="E391" s="5"/>
      <c r="F391" s="5"/>
      <c r="G391" s="5"/>
      <c r="H391" s="112"/>
      <c r="L391" s="4"/>
      <c r="M391" s="5"/>
      <c r="N391" s="112"/>
      <c r="R391" s="333"/>
      <c r="S391" s="5"/>
      <c r="T391" s="112"/>
      <c r="X391" s="333"/>
      <c r="Y391" s="5"/>
      <c r="AD391" s="333"/>
      <c r="AE391" s="5"/>
      <c r="AJ391" s="333"/>
      <c r="AK391" s="5"/>
      <c r="AP391" s="333"/>
      <c r="AQ391" s="5"/>
    </row>
    <row r="392" ht="15.75" customHeight="1">
      <c r="C392" s="4"/>
      <c r="D392" s="333"/>
      <c r="E392" s="5"/>
      <c r="F392" s="5"/>
      <c r="G392" s="5"/>
      <c r="H392" s="112"/>
      <c r="L392" s="4"/>
      <c r="M392" s="5"/>
      <c r="N392" s="112"/>
      <c r="R392" s="333"/>
      <c r="S392" s="5"/>
      <c r="T392" s="112"/>
      <c r="X392" s="333"/>
      <c r="Y392" s="5"/>
      <c r="AD392" s="333"/>
      <c r="AE392" s="5"/>
      <c r="AJ392" s="333"/>
      <c r="AK392" s="5"/>
      <c r="AP392" s="333"/>
      <c r="AQ392" s="5"/>
    </row>
    <row r="393" ht="15.75" customHeight="1">
      <c r="C393" s="4"/>
      <c r="D393" s="333"/>
      <c r="E393" s="5"/>
      <c r="F393" s="5"/>
      <c r="G393" s="5"/>
      <c r="H393" s="112"/>
      <c r="L393" s="4"/>
      <c r="M393" s="5"/>
      <c r="N393" s="112"/>
      <c r="R393" s="333"/>
      <c r="S393" s="5"/>
      <c r="T393" s="112"/>
      <c r="X393" s="333"/>
      <c r="Y393" s="5"/>
      <c r="AD393" s="333"/>
      <c r="AE393" s="5"/>
      <c r="AJ393" s="333"/>
      <c r="AK393" s="5"/>
      <c r="AP393" s="333"/>
      <c r="AQ393" s="5"/>
    </row>
    <row r="394" ht="15.75" customHeight="1">
      <c r="C394" s="4"/>
      <c r="D394" s="333"/>
      <c r="E394" s="5"/>
      <c r="F394" s="5"/>
      <c r="G394" s="5"/>
      <c r="H394" s="112"/>
      <c r="L394" s="4"/>
      <c r="M394" s="5"/>
      <c r="N394" s="112"/>
      <c r="R394" s="333"/>
      <c r="S394" s="5"/>
      <c r="T394" s="112"/>
      <c r="X394" s="333"/>
      <c r="Y394" s="5"/>
      <c r="AD394" s="333"/>
      <c r="AE394" s="5"/>
      <c r="AJ394" s="333"/>
      <c r="AK394" s="5"/>
      <c r="AP394" s="333"/>
      <c r="AQ394" s="5"/>
    </row>
    <row r="395" ht="15.75" customHeight="1">
      <c r="C395" s="4"/>
      <c r="D395" s="333"/>
      <c r="E395" s="5"/>
      <c r="F395" s="5"/>
      <c r="G395" s="5"/>
      <c r="H395" s="112"/>
      <c r="L395" s="4"/>
      <c r="M395" s="5"/>
      <c r="N395" s="112"/>
      <c r="R395" s="333"/>
      <c r="S395" s="5"/>
      <c r="T395" s="112"/>
      <c r="X395" s="333"/>
      <c r="Y395" s="5"/>
      <c r="AD395" s="333"/>
      <c r="AE395" s="5"/>
      <c r="AJ395" s="333"/>
      <c r="AK395" s="5"/>
      <c r="AP395" s="333"/>
      <c r="AQ395" s="5"/>
    </row>
    <row r="396" ht="15.75" customHeight="1">
      <c r="C396" s="4"/>
      <c r="D396" s="333"/>
      <c r="E396" s="5"/>
      <c r="F396" s="5"/>
      <c r="G396" s="5"/>
      <c r="H396" s="112"/>
      <c r="L396" s="4"/>
      <c r="M396" s="5"/>
      <c r="N396" s="112"/>
      <c r="R396" s="333"/>
      <c r="S396" s="5"/>
      <c r="T396" s="112"/>
      <c r="X396" s="333"/>
      <c r="Y396" s="5"/>
      <c r="AD396" s="333"/>
      <c r="AE396" s="5"/>
      <c r="AJ396" s="333"/>
      <c r="AK396" s="5"/>
      <c r="AP396" s="333"/>
      <c r="AQ396" s="5"/>
    </row>
    <row r="397" ht="15.75" customHeight="1">
      <c r="C397" s="4"/>
      <c r="D397" s="333"/>
      <c r="E397" s="5"/>
      <c r="F397" s="5"/>
      <c r="G397" s="5"/>
      <c r="H397" s="112"/>
      <c r="L397" s="4"/>
      <c r="M397" s="5"/>
      <c r="N397" s="112"/>
      <c r="R397" s="333"/>
      <c r="S397" s="5"/>
      <c r="T397" s="112"/>
      <c r="X397" s="333"/>
      <c r="Y397" s="5"/>
      <c r="AD397" s="333"/>
      <c r="AE397" s="5"/>
      <c r="AJ397" s="333"/>
      <c r="AK397" s="5"/>
      <c r="AP397" s="333"/>
      <c r="AQ397" s="5"/>
    </row>
    <row r="398" ht="15.75" customHeight="1">
      <c r="C398" s="4"/>
      <c r="D398" s="333"/>
      <c r="E398" s="5"/>
      <c r="F398" s="5"/>
      <c r="G398" s="5"/>
      <c r="H398" s="112"/>
      <c r="L398" s="4"/>
      <c r="M398" s="5"/>
      <c r="N398" s="112"/>
      <c r="R398" s="333"/>
      <c r="S398" s="5"/>
      <c r="T398" s="112"/>
      <c r="X398" s="333"/>
      <c r="Y398" s="5"/>
      <c r="AD398" s="333"/>
      <c r="AE398" s="5"/>
      <c r="AJ398" s="333"/>
      <c r="AK398" s="5"/>
      <c r="AP398" s="333"/>
      <c r="AQ398" s="5"/>
    </row>
    <row r="399" ht="15.75" customHeight="1">
      <c r="C399" s="4"/>
      <c r="D399" s="333"/>
      <c r="E399" s="5"/>
      <c r="F399" s="5"/>
      <c r="G399" s="5"/>
      <c r="H399" s="112"/>
      <c r="L399" s="4"/>
      <c r="M399" s="5"/>
      <c r="N399" s="112"/>
      <c r="R399" s="333"/>
      <c r="S399" s="5"/>
      <c r="T399" s="112"/>
      <c r="X399" s="333"/>
      <c r="Y399" s="5"/>
      <c r="AD399" s="333"/>
      <c r="AE399" s="5"/>
      <c r="AJ399" s="333"/>
      <c r="AK399" s="5"/>
      <c r="AP399" s="333"/>
      <c r="AQ399" s="5"/>
    </row>
    <row r="400" ht="15.75" customHeight="1">
      <c r="C400" s="4"/>
      <c r="D400" s="333"/>
      <c r="E400" s="5"/>
      <c r="F400" s="5"/>
      <c r="G400" s="5"/>
      <c r="H400" s="112"/>
      <c r="L400" s="4"/>
      <c r="M400" s="5"/>
      <c r="N400" s="112"/>
      <c r="R400" s="333"/>
      <c r="S400" s="5"/>
      <c r="T400" s="112"/>
      <c r="X400" s="333"/>
      <c r="Y400" s="5"/>
      <c r="AD400" s="333"/>
      <c r="AE400" s="5"/>
      <c r="AJ400" s="333"/>
      <c r="AK400" s="5"/>
      <c r="AP400" s="333"/>
      <c r="AQ400" s="5"/>
    </row>
    <row r="401" ht="15.75" customHeight="1">
      <c r="C401" s="4"/>
      <c r="D401" s="333"/>
      <c r="E401" s="5"/>
      <c r="F401" s="5"/>
      <c r="G401" s="5"/>
      <c r="H401" s="112"/>
      <c r="L401" s="4"/>
      <c r="M401" s="5"/>
      <c r="N401" s="112"/>
      <c r="R401" s="333"/>
      <c r="S401" s="5"/>
      <c r="T401" s="112"/>
      <c r="X401" s="333"/>
      <c r="Y401" s="5"/>
      <c r="AD401" s="333"/>
      <c r="AE401" s="5"/>
      <c r="AJ401" s="333"/>
      <c r="AK401" s="5"/>
      <c r="AP401" s="333"/>
      <c r="AQ401" s="5"/>
    </row>
    <row r="402" ht="15.75" customHeight="1">
      <c r="C402" s="4"/>
      <c r="D402" s="333"/>
      <c r="E402" s="5"/>
      <c r="F402" s="5"/>
      <c r="G402" s="5"/>
      <c r="H402" s="112"/>
      <c r="L402" s="4"/>
      <c r="M402" s="5"/>
      <c r="N402" s="112"/>
      <c r="R402" s="333"/>
      <c r="S402" s="5"/>
      <c r="T402" s="112"/>
      <c r="X402" s="333"/>
      <c r="Y402" s="5"/>
      <c r="AD402" s="333"/>
      <c r="AE402" s="5"/>
      <c r="AJ402" s="333"/>
      <c r="AK402" s="5"/>
      <c r="AP402" s="333"/>
      <c r="AQ402" s="5"/>
    </row>
    <row r="403" ht="15.75" customHeight="1">
      <c r="C403" s="4"/>
      <c r="D403" s="333"/>
      <c r="E403" s="5"/>
      <c r="F403" s="5"/>
      <c r="G403" s="5"/>
      <c r="H403" s="112"/>
      <c r="L403" s="4"/>
      <c r="M403" s="5"/>
      <c r="N403" s="112"/>
      <c r="R403" s="333"/>
      <c r="S403" s="5"/>
      <c r="T403" s="112"/>
      <c r="X403" s="333"/>
      <c r="Y403" s="5"/>
      <c r="AD403" s="333"/>
      <c r="AE403" s="5"/>
      <c r="AJ403" s="333"/>
      <c r="AK403" s="5"/>
      <c r="AP403" s="333"/>
      <c r="AQ403" s="5"/>
    </row>
    <row r="404" ht="15.75" customHeight="1">
      <c r="C404" s="4"/>
      <c r="D404" s="333"/>
      <c r="E404" s="5"/>
      <c r="F404" s="5"/>
      <c r="G404" s="5"/>
      <c r="H404" s="112"/>
      <c r="L404" s="4"/>
      <c r="M404" s="5"/>
      <c r="N404" s="112"/>
      <c r="R404" s="333"/>
      <c r="S404" s="5"/>
      <c r="T404" s="112"/>
      <c r="X404" s="333"/>
      <c r="Y404" s="5"/>
      <c r="AD404" s="333"/>
      <c r="AE404" s="5"/>
      <c r="AJ404" s="333"/>
      <c r="AK404" s="5"/>
      <c r="AP404" s="333"/>
      <c r="AQ404" s="5"/>
    </row>
    <row r="405" ht="15.75" customHeight="1">
      <c r="C405" s="4"/>
      <c r="D405" s="333"/>
      <c r="E405" s="5"/>
      <c r="F405" s="5"/>
      <c r="G405" s="5"/>
      <c r="H405" s="112"/>
      <c r="L405" s="4"/>
      <c r="M405" s="5"/>
      <c r="N405" s="112"/>
      <c r="R405" s="333"/>
      <c r="S405" s="5"/>
      <c r="T405" s="112"/>
      <c r="X405" s="333"/>
      <c r="Y405" s="5"/>
      <c r="AD405" s="333"/>
      <c r="AE405" s="5"/>
      <c r="AJ405" s="333"/>
      <c r="AK405" s="5"/>
      <c r="AP405" s="333"/>
      <c r="AQ405" s="5"/>
    </row>
    <row r="406" ht="15.75" customHeight="1">
      <c r="C406" s="4"/>
      <c r="D406" s="333"/>
      <c r="E406" s="5"/>
      <c r="F406" s="5"/>
      <c r="G406" s="5"/>
      <c r="H406" s="112"/>
      <c r="L406" s="4"/>
      <c r="M406" s="5"/>
      <c r="N406" s="112"/>
      <c r="R406" s="333"/>
      <c r="S406" s="5"/>
      <c r="T406" s="112"/>
      <c r="X406" s="333"/>
      <c r="Y406" s="5"/>
      <c r="AD406" s="333"/>
      <c r="AE406" s="5"/>
      <c r="AJ406" s="333"/>
      <c r="AK406" s="5"/>
      <c r="AP406" s="333"/>
      <c r="AQ406" s="5"/>
    </row>
    <row r="407" ht="15.75" customHeight="1">
      <c r="C407" s="4"/>
      <c r="D407" s="333"/>
      <c r="E407" s="5"/>
      <c r="F407" s="5"/>
      <c r="G407" s="5"/>
      <c r="H407" s="112"/>
      <c r="L407" s="4"/>
      <c r="M407" s="5"/>
      <c r="N407" s="112"/>
      <c r="R407" s="333"/>
      <c r="S407" s="5"/>
      <c r="T407" s="112"/>
      <c r="X407" s="333"/>
      <c r="Y407" s="5"/>
      <c r="AD407" s="333"/>
      <c r="AE407" s="5"/>
      <c r="AJ407" s="333"/>
      <c r="AK407" s="5"/>
      <c r="AP407" s="333"/>
      <c r="AQ407" s="5"/>
    </row>
    <row r="408" ht="15.75" customHeight="1">
      <c r="C408" s="4"/>
      <c r="D408" s="333"/>
      <c r="E408" s="5"/>
      <c r="F408" s="5"/>
      <c r="G408" s="5"/>
      <c r="H408" s="112"/>
      <c r="L408" s="4"/>
      <c r="M408" s="5"/>
      <c r="N408" s="112"/>
      <c r="R408" s="333"/>
      <c r="S408" s="5"/>
      <c r="T408" s="112"/>
      <c r="X408" s="333"/>
      <c r="Y408" s="5"/>
      <c r="AD408" s="333"/>
      <c r="AE408" s="5"/>
      <c r="AJ408" s="333"/>
      <c r="AK408" s="5"/>
      <c r="AP408" s="333"/>
      <c r="AQ408" s="5"/>
    </row>
    <row r="409" ht="15.75" customHeight="1">
      <c r="C409" s="4"/>
      <c r="D409" s="333"/>
      <c r="E409" s="5"/>
      <c r="F409" s="5"/>
      <c r="G409" s="5"/>
      <c r="H409" s="112"/>
      <c r="L409" s="4"/>
      <c r="M409" s="5"/>
      <c r="N409" s="112"/>
      <c r="R409" s="333"/>
      <c r="S409" s="5"/>
      <c r="T409" s="112"/>
      <c r="X409" s="333"/>
      <c r="Y409" s="5"/>
      <c r="AD409" s="333"/>
      <c r="AE409" s="5"/>
      <c r="AJ409" s="333"/>
      <c r="AK409" s="5"/>
      <c r="AP409" s="333"/>
      <c r="AQ409" s="5"/>
    </row>
    <row r="410" ht="15.75" customHeight="1">
      <c r="C410" s="4"/>
      <c r="D410" s="333"/>
      <c r="E410" s="5"/>
      <c r="F410" s="5"/>
      <c r="G410" s="5"/>
      <c r="H410" s="112"/>
      <c r="L410" s="4"/>
      <c r="M410" s="5"/>
      <c r="N410" s="112"/>
      <c r="R410" s="333"/>
      <c r="S410" s="5"/>
      <c r="T410" s="112"/>
      <c r="X410" s="333"/>
      <c r="Y410" s="5"/>
      <c r="AD410" s="333"/>
      <c r="AE410" s="5"/>
      <c r="AJ410" s="333"/>
      <c r="AK410" s="5"/>
      <c r="AP410" s="333"/>
      <c r="AQ410" s="5"/>
    </row>
    <row r="411" ht="15.75" customHeight="1">
      <c r="C411" s="4"/>
      <c r="D411" s="333"/>
      <c r="E411" s="5"/>
      <c r="F411" s="5"/>
      <c r="G411" s="5"/>
      <c r="H411" s="112"/>
      <c r="L411" s="4"/>
      <c r="M411" s="5"/>
      <c r="N411" s="112"/>
      <c r="R411" s="333"/>
      <c r="S411" s="5"/>
      <c r="T411" s="112"/>
      <c r="X411" s="333"/>
      <c r="Y411" s="5"/>
      <c r="AD411" s="333"/>
      <c r="AE411" s="5"/>
      <c r="AJ411" s="333"/>
      <c r="AK411" s="5"/>
      <c r="AP411" s="333"/>
      <c r="AQ411" s="5"/>
    </row>
    <row r="412" ht="15.75" customHeight="1">
      <c r="C412" s="4"/>
      <c r="D412" s="333"/>
      <c r="E412" s="5"/>
      <c r="F412" s="5"/>
      <c r="G412" s="5"/>
      <c r="H412" s="112"/>
      <c r="L412" s="4"/>
      <c r="M412" s="5"/>
      <c r="N412" s="112"/>
      <c r="R412" s="333"/>
      <c r="S412" s="5"/>
      <c r="T412" s="112"/>
      <c r="X412" s="333"/>
      <c r="Y412" s="5"/>
      <c r="AD412" s="333"/>
      <c r="AE412" s="5"/>
      <c r="AJ412" s="333"/>
      <c r="AK412" s="5"/>
      <c r="AP412" s="333"/>
      <c r="AQ412" s="5"/>
    </row>
    <row r="413" ht="15.75" customHeight="1">
      <c r="C413" s="4"/>
      <c r="D413" s="333"/>
      <c r="E413" s="5"/>
      <c r="F413" s="5"/>
      <c r="G413" s="5"/>
      <c r="H413" s="112"/>
      <c r="L413" s="4"/>
      <c r="M413" s="5"/>
      <c r="N413" s="112"/>
      <c r="R413" s="333"/>
      <c r="S413" s="5"/>
      <c r="T413" s="112"/>
      <c r="X413" s="333"/>
      <c r="Y413" s="5"/>
      <c r="AD413" s="333"/>
      <c r="AE413" s="5"/>
      <c r="AJ413" s="333"/>
      <c r="AK413" s="5"/>
      <c r="AP413" s="333"/>
      <c r="AQ413" s="5"/>
    </row>
    <row r="414" ht="15.75" customHeight="1">
      <c r="C414" s="4"/>
      <c r="D414" s="333"/>
      <c r="E414" s="5"/>
      <c r="F414" s="5"/>
      <c r="G414" s="5"/>
      <c r="H414" s="112"/>
      <c r="L414" s="4"/>
      <c r="M414" s="5"/>
      <c r="N414" s="112"/>
      <c r="R414" s="333"/>
      <c r="S414" s="5"/>
      <c r="T414" s="112"/>
      <c r="X414" s="333"/>
      <c r="Y414" s="5"/>
      <c r="AD414" s="333"/>
      <c r="AE414" s="5"/>
      <c r="AJ414" s="333"/>
      <c r="AK414" s="5"/>
      <c r="AP414" s="333"/>
      <c r="AQ414" s="5"/>
    </row>
    <row r="415" ht="15.75" customHeight="1">
      <c r="C415" s="4"/>
      <c r="D415" s="333"/>
      <c r="E415" s="5"/>
      <c r="F415" s="5"/>
      <c r="G415" s="5"/>
      <c r="H415" s="112"/>
      <c r="L415" s="4"/>
      <c r="M415" s="5"/>
      <c r="N415" s="112"/>
      <c r="R415" s="333"/>
      <c r="S415" s="5"/>
      <c r="T415" s="112"/>
      <c r="X415" s="333"/>
      <c r="Y415" s="5"/>
      <c r="AD415" s="333"/>
      <c r="AE415" s="5"/>
      <c r="AJ415" s="333"/>
      <c r="AK415" s="5"/>
      <c r="AP415" s="333"/>
      <c r="AQ415" s="5"/>
    </row>
    <row r="416" ht="15.75" customHeight="1">
      <c r="C416" s="4"/>
      <c r="D416" s="333"/>
      <c r="E416" s="5"/>
      <c r="F416" s="5"/>
      <c r="G416" s="5"/>
      <c r="H416" s="112"/>
      <c r="L416" s="4"/>
      <c r="M416" s="5"/>
      <c r="N416" s="112"/>
      <c r="R416" s="333"/>
      <c r="S416" s="5"/>
      <c r="T416" s="112"/>
      <c r="X416" s="333"/>
      <c r="Y416" s="5"/>
      <c r="AD416" s="333"/>
      <c r="AE416" s="5"/>
      <c r="AJ416" s="333"/>
      <c r="AK416" s="5"/>
      <c r="AP416" s="333"/>
      <c r="AQ416" s="5"/>
    </row>
    <row r="417" ht="15.75" customHeight="1">
      <c r="C417" s="4"/>
      <c r="D417" s="333"/>
      <c r="E417" s="5"/>
      <c r="F417" s="5"/>
      <c r="G417" s="5"/>
      <c r="H417" s="112"/>
      <c r="L417" s="4"/>
      <c r="M417" s="5"/>
      <c r="N417" s="112"/>
      <c r="R417" s="333"/>
      <c r="S417" s="5"/>
      <c r="T417" s="112"/>
      <c r="X417" s="333"/>
      <c r="Y417" s="5"/>
      <c r="AD417" s="333"/>
      <c r="AE417" s="5"/>
      <c r="AJ417" s="333"/>
      <c r="AK417" s="5"/>
      <c r="AP417" s="333"/>
      <c r="AQ417" s="5"/>
    </row>
    <row r="418" ht="15.75" customHeight="1">
      <c r="C418" s="4"/>
      <c r="D418" s="333"/>
      <c r="E418" s="5"/>
      <c r="F418" s="5"/>
      <c r="G418" s="5"/>
      <c r="H418" s="112"/>
      <c r="L418" s="4"/>
      <c r="M418" s="5"/>
      <c r="N418" s="112"/>
      <c r="R418" s="333"/>
      <c r="S418" s="5"/>
      <c r="T418" s="112"/>
      <c r="X418" s="333"/>
      <c r="Y418" s="5"/>
      <c r="AD418" s="333"/>
      <c r="AE418" s="5"/>
      <c r="AJ418" s="333"/>
      <c r="AK418" s="5"/>
      <c r="AP418" s="333"/>
      <c r="AQ418" s="5"/>
    </row>
    <row r="419" ht="15.75" customHeight="1">
      <c r="C419" s="4"/>
      <c r="D419" s="333"/>
      <c r="E419" s="5"/>
      <c r="F419" s="5"/>
      <c r="G419" s="5"/>
      <c r="H419" s="112"/>
      <c r="L419" s="4"/>
      <c r="M419" s="5"/>
      <c r="N419" s="112"/>
      <c r="R419" s="333"/>
      <c r="S419" s="5"/>
      <c r="T419" s="112"/>
      <c r="X419" s="333"/>
      <c r="Y419" s="5"/>
      <c r="AD419" s="333"/>
      <c r="AE419" s="5"/>
      <c r="AJ419" s="333"/>
      <c r="AK419" s="5"/>
      <c r="AP419" s="333"/>
      <c r="AQ419" s="5"/>
    </row>
    <row r="420" ht="15.75" customHeight="1">
      <c r="C420" s="4"/>
      <c r="D420" s="333"/>
      <c r="E420" s="5"/>
      <c r="F420" s="5"/>
      <c r="G420" s="5"/>
      <c r="H420" s="112"/>
      <c r="L420" s="4"/>
      <c r="M420" s="5"/>
      <c r="N420" s="112"/>
      <c r="R420" s="333"/>
      <c r="S420" s="5"/>
      <c r="T420" s="112"/>
      <c r="X420" s="333"/>
      <c r="Y420" s="5"/>
      <c r="AD420" s="333"/>
      <c r="AE420" s="5"/>
      <c r="AJ420" s="333"/>
      <c r="AK420" s="5"/>
      <c r="AP420" s="333"/>
      <c r="AQ420" s="5"/>
    </row>
    <row r="421" ht="15.75" customHeight="1">
      <c r="C421" s="4"/>
      <c r="D421" s="333"/>
      <c r="E421" s="5"/>
      <c r="F421" s="5"/>
      <c r="G421" s="5"/>
      <c r="H421" s="112"/>
      <c r="L421" s="4"/>
      <c r="M421" s="5"/>
      <c r="N421" s="112"/>
      <c r="R421" s="333"/>
      <c r="S421" s="5"/>
      <c r="T421" s="112"/>
      <c r="X421" s="333"/>
      <c r="Y421" s="5"/>
      <c r="AD421" s="333"/>
      <c r="AE421" s="5"/>
      <c r="AJ421" s="333"/>
      <c r="AK421" s="5"/>
      <c r="AP421" s="333"/>
      <c r="AQ421" s="5"/>
    </row>
    <row r="422" ht="15.75" customHeight="1">
      <c r="C422" s="4"/>
      <c r="D422" s="333"/>
      <c r="E422" s="5"/>
      <c r="F422" s="5"/>
      <c r="G422" s="5"/>
      <c r="H422" s="112"/>
      <c r="L422" s="4"/>
      <c r="M422" s="5"/>
      <c r="N422" s="112"/>
      <c r="R422" s="333"/>
      <c r="S422" s="5"/>
      <c r="T422" s="112"/>
      <c r="X422" s="333"/>
      <c r="Y422" s="5"/>
      <c r="AD422" s="333"/>
      <c r="AE422" s="5"/>
      <c r="AJ422" s="333"/>
      <c r="AK422" s="5"/>
      <c r="AP422" s="333"/>
      <c r="AQ422" s="5"/>
    </row>
    <row r="423" ht="15.75" customHeight="1">
      <c r="C423" s="4"/>
      <c r="D423" s="333"/>
      <c r="E423" s="5"/>
      <c r="F423" s="5"/>
      <c r="G423" s="5"/>
      <c r="H423" s="112"/>
      <c r="L423" s="4"/>
      <c r="M423" s="5"/>
      <c r="N423" s="112"/>
      <c r="R423" s="333"/>
      <c r="S423" s="5"/>
      <c r="T423" s="112"/>
      <c r="X423" s="333"/>
      <c r="Y423" s="5"/>
      <c r="AD423" s="333"/>
      <c r="AE423" s="5"/>
      <c r="AJ423" s="333"/>
      <c r="AK423" s="5"/>
      <c r="AP423" s="333"/>
      <c r="AQ423" s="5"/>
    </row>
    <row r="424" ht="15.75" customHeight="1">
      <c r="C424" s="4"/>
      <c r="D424" s="333"/>
      <c r="E424" s="5"/>
      <c r="F424" s="5"/>
      <c r="G424" s="5"/>
      <c r="H424" s="112"/>
      <c r="L424" s="4"/>
      <c r="M424" s="5"/>
      <c r="N424" s="112"/>
      <c r="R424" s="333"/>
      <c r="S424" s="5"/>
      <c r="T424" s="112"/>
      <c r="X424" s="333"/>
      <c r="Y424" s="5"/>
      <c r="AD424" s="333"/>
      <c r="AE424" s="5"/>
      <c r="AJ424" s="333"/>
      <c r="AK424" s="5"/>
      <c r="AP424" s="333"/>
      <c r="AQ424" s="5"/>
    </row>
    <row r="425" ht="15.75" customHeight="1">
      <c r="C425" s="4"/>
      <c r="D425" s="333"/>
      <c r="E425" s="5"/>
      <c r="F425" s="5"/>
      <c r="G425" s="5"/>
      <c r="H425" s="112"/>
      <c r="L425" s="4"/>
      <c r="M425" s="5"/>
      <c r="N425" s="112"/>
      <c r="R425" s="333"/>
      <c r="S425" s="5"/>
      <c r="T425" s="112"/>
      <c r="X425" s="333"/>
      <c r="Y425" s="5"/>
      <c r="AD425" s="333"/>
      <c r="AE425" s="5"/>
      <c r="AJ425" s="333"/>
      <c r="AK425" s="5"/>
      <c r="AP425" s="333"/>
      <c r="AQ425" s="5"/>
    </row>
    <row r="426" ht="15.75" customHeight="1">
      <c r="C426" s="4"/>
      <c r="D426" s="333"/>
      <c r="E426" s="5"/>
      <c r="F426" s="5"/>
      <c r="G426" s="5"/>
      <c r="H426" s="112"/>
      <c r="L426" s="4"/>
      <c r="M426" s="5"/>
      <c r="N426" s="112"/>
      <c r="R426" s="333"/>
      <c r="S426" s="5"/>
      <c r="T426" s="112"/>
      <c r="X426" s="333"/>
      <c r="Y426" s="5"/>
      <c r="AD426" s="333"/>
      <c r="AE426" s="5"/>
      <c r="AJ426" s="333"/>
      <c r="AK426" s="5"/>
      <c r="AP426" s="333"/>
      <c r="AQ426" s="5"/>
    </row>
    <row r="427" ht="15.75" customHeight="1">
      <c r="C427" s="4"/>
      <c r="D427" s="333"/>
      <c r="E427" s="5"/>
      <c r="F427" s="5"/>
      <c r="G427" s="5"/>
      <c r="H427" s="112"/>
      <c r="L427" s="4"/>
      <c r="M427" s="5"/>
      <c r="N427" s="112"/>
      <c r="R427" s="333"/>
      <c r="S427" s="5"/>
      <c r="T427" s="112"/>
      <c r="X427" s="333"/>
      <c r="Y427" s="5"/>
      <c r="AD427" s="333"/>
      <c r="AE427" s="5"/>
      <c r="AJ427" s="333"/>
      <c r="AK427" s="5"/>
      <c r="AP427" s="333"/>
      <c r="AQ427" s="5"/>
    </row>
    <row r="428" ht="15.75" customHeight="1">
      <c r="C428" s="4"/>
      <c r="D428" s="333"/>
      <c r="E428" s="5"/>
      <c r="F428" s="5"/>
      <c r="G428" s="5"/>
      <c r="H428" s="112"/>
      <c r="L428" s="4"/>
      <c r="M428" s="5"/>
      <c r="N428" s="112"/>
      <c r="R428" s="333"/>
      <c r="S428" s="5"/>
      <c r="T428" s="112"/>
      <c r="X428" s="333"/>
      <c r="Y428" s="5"/>
      <c r="AD428" s="333"/>
      <c r="AE428" s="5"/>
      <c r="AJ428" s="333"/>
      <c r="AK428" s="5"/>
      <c r="AP428" s="333"/>
      <c r="AQ428" s="5"/>
    </row>
    <row r="429" ht="15.75" customHeight="1">
      <c r="C429" s="4"/>
      <c r="D429" s="333"/>
      <c r="E429" s="5"/>
      <c r="F429" s="5"/>
      <c r="G429" s="5"/>
      <c r="H429" s="112"/>
      <c r="L429" s="4"/>
      <c r="M429" s="5"/>
      <c r="N429" s="112"/>
      <c r="R429" s="333"/>
      <c r="S429" s="5"/>
      <c r="T429" s="112"/>
      <c r="X429" s="333"/>
      <c r="Y429" s="5"/>
      <c r="AD429" s="333"/>
      <c r="AE429" s="5"/>
      <c r="AJ429" s="333"/>
      <c r="AK429" s="5"/>
      <c r="AP429" s="333"/>
      <c r="AQ429" s="5"/>
    </row>
    <row r="430" ht="15.75" customHeight="1">
      <c r="C430" s="4"/>
      <c r="D430" s="333"/>
      <c r="E430" s="5"/>
      <c r="F430" s="5"/>
      <c r="G430" s="5"/>
      <c r="H430" s="112"/>
      <c r="L430" s="4"/>
      <c r="M430" s="5"/>
      <c r="N430" s="112"/>
      <c r="R430" s="333"/>
      <c r="S430" s="5"/>
      <c r="T430" s="112"/>
      <c r="X430" s="333"/>
      <c r="Y430" s="5"/>
      <c r="AD430" s="333"/>
      <c r="AE430" s="5"/>
      <c r="AJ430" s="333"/>
      <c r="AK430" s="5"/>
      <c r="AP430" s="333"/>
      <c r="AQ430" s="5"/>
    </row>
    <row r="431" ht="15.75" customHeight="1">
      <c r="C431" s="4"/>
      <c r="D431" s="333"/>
      <c r="E431" s="5"/>
      <c r="F431" s="5"/>
      <c r="G431" s="5"/>
      <c r="H431" s="112"/>
      <c r="L431" s="4"/>
      <c r="M431" s="5"/>
      <c r="N431" s="112"/>
      <c r="R431" s="333"/>
      <c r="S431" s="5"/>
      <c r="T431" s="112"/>
      <c r="X431" s="333"/>
      <c r="Y431" s="5"/>
      <c r="AD431" s="333"/>
      <c r="AE431" s="5"/>
      <c r="AJ431" s="333"/>
      <c r="AK431" s="5"/>
      <c r="AP431" s="333"/>
      <c r="AQ431" s="5"/>
    </row>
    <row r="432" ht="15.75" customHeight="1">
      <c r="C432" s="4"/>
      <c r="D432" s="333"/>
      <c r="E432" s="5"/>
      <c r="F432" s="5"/>
      <c r="G432" s="5"/>
      <c r="H432" s="112"/>
      <c r="L432" s="4"/>
      <c r="M432" s="5"/>
      <c r="N432" s="112"/>
      <c r="R432" s="333"/>
      <c r="S432" s="5"/>
      <c r="T432" s="112"/>
      <c r="X432" s="333"/>
      <c r="Y432" s="5"/>
      <c r="AD432" s="333"/>
      <c r="AE432" s="5"/>
      <c r="AJ432" s="333"/>
      <c r="AK432" s="5"/>
      <c r="AP432" s="333"/>
      <c r="AQ432" s="5"/>
    </row>
    <row r="433" ht="15.75" customHeight="1">
      <c r="C433" s="4"/>
      <c r="D433" s="333"/>
      <c r="E433" s="5"/>
      <c r="F433" s="5"/>
      <c r="G433" s="5"/>
      <c r="H433" s="112"/>
      <c r="L433" s="4"/>
      <c r="M433" s="5"/>
      <c r="N433" s="112"/>
      <c r="R433" s="333"/>
      <c r="S433" s="5"/>
      <c r="T433" s="112"/>
      <c r="X433" s="333"/>
      <c r="Y433" s="5"/>
      <c r="AD433" s="333"/>
      <c r="AE433" s="5"/>
      <c r="AJ433" s="333"/>
      <c r="AK433" s="5"/>
      <c r="AP433" s="333"/>
      <c r="AQ433" s="5"/>
    </row>
    <row r="434" ht="15.75" customHeight="1">
      <c r="C434" s="4"/>
      <c r="D434" s="333"/>
      <c r="E434" s="5"/>
      <c r="F434" s="5"/>
      <c r="G434" s="5"/>
      <c r="H434" s="112"/>
      <c r="L434" s="4"/>
      <c r="M434" s="5"/>
      <c r="N434" s="112"/>
      <c r="R434" s="333"/>
      <c r="S434" s="5"/>
      <c r="T434" s="112"/>
      <c r="X434" s="333"/>
      <c r="Y434" s="5"/>
      <c r="AD434" s="333"/>
      <c r="AE434" s="5"/>
      <c r="AJ434" s="333"/>
      <c r="AK434" s="5"/>
      <c r="AP434" s="333"/>
      <c r="AQ434" s="5"/>
    </row>
    <row r="435" ht="15.75" customHeight="1">
      <c r="C435" s="4"/>
      <c r="D435" s="333"/>
      <c r="E435" s="5"/>
      <c r="F435" s="5"/>
      <c r="G435" s="5"/>
      <c r="H435" s="112"/>
      <c r="L435" s="4"/>
      <c r="M435" s="5"/>
      <c r="N435" s="112"/>
      <c r="R435" s="333"/>
      <c r="S435" s="5"/>
      <c r="T435" s="112"/>
      <c r="X435" s="333"/>
      <c r="Y435" s="5"/>
      <c r="AD435" s="333"/>
      <c r="AE435" s="5"/>
      <c r="AJ435" s="333"/>
      <c r="AK435" s="5"/>
      <c r="AP435" s="333"/>
      <c r="AQ435" s="5"/>
    </row>
    <row r="436" ht="15.75" customHeight="1">
      <c r="C436" s="4"/>
      <c r="D436" s="333"/>
      <c r="E436" s="5"/>
      <c r="F436" s="5"/>
      <c r="G436" s="5"/>
      <c r="H436" s="112"/>
      <c r="L436" s="4"/>
      <c r="M436" s="5"/>
      <c r="N436" s="112"/>
      <c r="R436" s="333"/>
      <c r="S436" s="5"/>
      <c r="T436" s="112"/>
      <c r="X436" s="333"/>
      <c r="Y436" s="5"/>
      <c r="AD436" s="333"/>
      <c r="AE436" s="5"/>
      <c r="AJ436" s="333"/>
      <c r="AK436" s="5"/>
      <c r="AP436" s="333"/>
      <c r="AQ436" s="5"/>
    </row>
    <row r="437" ht="15.75" customHeight="1">
      <c r="C437" s="4"/>
      <c r="D437" s="333"/>
      <c r="E437" s="5"/>
      <c r="F437" s="5"/>
      <c r="G437" s="5"/>
      <c r="H437" s="112"/>
      <c r="L437" s="4"/>
      <c r="M437" s="5"/>
      <c r="N437" s="112"/>
      <c r="R437" s="333"/>
      <c r="S437" s="5"/>
      <c r="T437" s="112"/>
      <c r="X437" s="333"/>
      <c r="Y437" s="5"/>
      <c r="AD437" s="333"/>
      <c r="AE437" s="5"/>
      <c r="AJ437" s="333"/>
      <c r="AK437" s="5"/>
      <c r="AP437" s="333"/>
      <c r="AQ437" s="5"/>
    </row>
    <row r="438" ht="15.75" customHeight="1">
      <c r="C438" s="4"/>
      <c r="D438" s="333"/>
      <c r="E438" s="5"/>
      <c r="F438" s="5"/>
      <c r="G438" s="5"/>
      <c r="H438" s="112"/>
      <c r="L438" s="4"/>
      <c r="M438" s="5"/>
      <c r="N438" s="112"/>
      <c r="R438" s="333"/>
      <c r="S438" s="5"/>
      <c r="T438" s="112"/>
      <c r="X438" s="333"/>
      <c r="Y438" s="5"/>
      <c r="AD438" s="333"/>
      <c r="AE438" s="5"/>
      <c r="AJ438" s="333"/>
      <c r="AK438" s="5"/>
      <c r="AP438" s="333"/>
      <c r="AQ438" s="5"/>
    </row>
    <row r="439" ht="15.75" customHeight="1">
      <c r="C439" s="4"/>
      <c r="D439" s="333"/>
      <c r="E439" s="5"/>
      <c r="F439" s="5"/>
      <c r="G439" s="5"/>
      <c r="H439" s="112"/>
      <c r="L439" s="4"/>
      <c r="M439" s="5"/>
      <c r="N439" s="112"/>
      <c r="R439" s="333"/>
      <c r="S439" s="5"/>
      <c r="T439" s="112"/>
      <c r="X439" s="333"/>
      <c r="Y439" s="5"/>
      <c r="AD439" s="333"/>
      <c r="AE439" s="5"/>
      <c r="AJ439" s="333"/>
      <c r="AK439" s="5"/>
      <c r="AP439" s="333"/>
      <c r="AQ439" s="5"/>
    </row>
    <row r="440" ht="15.75" customHeight="1">
      <c r="C440" s="4"/>
      <c r="D440" s="333"/>
      <c r="E440" s="5"/>
      <c r="F440" s="5"/>
      <c r="G440" s="5"/>
      <c r="H440" s="112"/>
      <c r="L440" s="4"/>
      <c r="M440" s="5"/>
      <c r="N440" s="112"/>
      <c r="R440" s="333"/>
      <c r="S440" s="5"/>
      <c r="T440" s="112"/>
      <c r="X440" s="333"/>
      <c r="Y440" s="5"/>
      <c r="AD440" s="333"/>
      <c r="AE440" s="5"/>
      <c r="AJ440" s="333"/>
      <c r="AK440" s="5"/>
      <c r="AP440" s="333"/>
      <c r="AQ440" s="5"/>
    </row>
    <row r="441" ht="15.75" customHeight="1">
      <c r="C441" s="4"/>
      <c r="D441" s="333"/>
      <c r="E441" s="5"/>
      <c r="F441" s="5"/>
      <c r="G441" s="5"/>
      <c r="H441" s="112"/>
      <c r="L441" s="4"/>
      <c r="M441" s="5"/>
      <c r="N441" s="112"/>
      <c r="R441" s="333"/>
      <c r="S441" s="5"/>
      <c r="T441" s="112"/>
      <c r="X441" s="333"/>
      <c r="Y441" s="5"/>
      <c r="AD441" s="333"/>
      <c r="AE441" s="5"/>
      <c r="AJ441" s="333"/>
      <c r="AK441" s="5"/>
      <c r="AP441" s="333"/>
      <c r="AQ441" s="5"/>
    </row>
    <row r="442" ht="15.75" customHeight="1">
      <c r="C442" s="4"/>
      <c r="D442" s="333"/>
      <c r="E442" s="5"/>
      <c r="F442" s="5"/>
      <c r="G442" s="5"/>
      <c r="H442" s="112"/>
      <c r="L442" s="4"/>
      <c r="M442" s="5"/>
      <c r="N442" s="112"/>
      <c r="R442" s="333"/>
      <c r="S442" s="5"/>
      <c r="T442" s="112"/>
      <c r="X442" s="333"/>
      <c r="Y442" s="5"/>
      <c r="AD442" s="333"/>
      <c r="AE442" s="5"/>
      <c r="AJ442" s="333"/>
      <c r="AK442" s="5"/>
      <c r="AP442" s="333"/>
      <c r="AQ442" s="5"/>
    </row>
    <row r="443" ht="15.75" customHeight="1">
      <c r="C443" s="4"/>
      <c r="D443" s="333"/>
      <c r="E443" s="5"/>
      <c r="F443" s="5"/>
      <c r="G443" s="5"/>
      <c r="H443" s="112"/>
      <c r="L443" s="4"/>
      <c r="M443" s="5"/>
      <c r="N443" s="112"/>
      <c r="R443" s="333"/>
      <c r="S443" s="5"/>
      <c r="T443" s="112"/>
      <c r="X443" s="333"/>
      <c r="Y443" s="5"/>
      <c r="AD443" s="333"/>
      <c r="AE443" s="5"/>
      <c r="AJ443" s="333"/>
      <c r="AK443" s="5"/>
      <c r="AP443" s="333"/>
      <c r="AQ443" s="5"/>
    </row>
    <row r="444" ht="15.75" customHeight="1">
      <c r="C444" s="4"/>
      <c r="D444" s="333"/>
      <c r="E444" s="5"/>
      <c r="F444" s="5"/>
      <c r="G444" s="5"/>
      <c r="H444" s="112"/>
      <c r="L444" s="4"/>
      <c r="M444" s="5"/>
      <c r="N444" s="112"/>
      <c r="R444" s="333"/>
      <c r="S444" s="5"/>
      <c r="T444" s="112"/>
      <c r="X444" s="333"/>
      <c r="Y444" s="5"/>
      <c r="AD444" s="333"/>
      <c r="AE444" s="5"/>
      <c r="AJ444" s="333"/>
      <c r="AK444" s="5"/>
      <c r="AP444" s="333"/>
      <c r="AQ444" s="5"/>
    </row>
    <row r="445" ht="15.75" customHeight="1">
      <c r="C445" s="4"/>
      <c r="D445" s="333"/>
      <c r="E445" s="5"/>
      <c r="F445" s="5"/>
      <c r="G445" s="5"/>
      <c r="H445" s="112"/>
      <c r="L445" s="4"/>
      <c r="M445" s="5"/>
      <c r="N445" s="112"/>
      <c r="R445" s="333"/>
      <c r="S445" s="5"/>
      <c r="T445" s="112"/>
      <c r="X445" s="333"/>
      <c r="Y445" s="5"/>
      <c r="AD445" s="333"/>
      <c r="AE445" s="5"/>
      <c r="AJ445" s="333"/>
      <c r="AK445" s="5"/>
      <c r="AP445" s="333"/>
      <c r="AQ445" s="5"/>
    </row>
    <row r="446" ht="15.75" customHeight="1">
      <c r="C446" s="4"/>
      <c r="D446" s="333"/>
      <c r="E446" s="5"/>
      <c r="F446" s="5"/>
      <c r="G446" s="5"/>
      <c r="H446" s="112"/>
      <c r="L446" s="4"/>
      <c r="M446" s="5"/>
      <c r="N446" s="112"/>
      <c r="R446" s="333"/>
      <c r="S446" s="5"/>
      <c r="T446" s="112"/>
      <c r="X446" s="333"/>
      <c r="Y446" s="5"/>
      <c r="AD446" s="333"/>
      <c r="AE446" s="5"/>
      <c r="AJ446" s="333"/>
      <c r="AK446" s="5"/>
      <c r="AP446" s="333"/>
      <c r="AQ446" s="5"/>
    </row>
    <row r="447" ht="15.75" customHeight="1">
      <c r="C447" s="4"/>
      <c r="D447" s="333"/>
      <c r="E447" s="5"/>
      <c r="F447" s="5"/>
      <c r="G447" s="5"/>
      <c r="H447" s="112"/>
      <c r="L447" s="4"/>
      <c r="M447" s="5"/>
      <c r="N447" s="112"/>
      <c r="R447" s="333"/>
      <c r="S447" s="5"/>
      <c r="T447" s="112"/>
      <c r="X447" s="333"/>
      <c r="Y447" s="5"/>
      <c r="AD447" s="333"/>
      <c r="AE447" s="5"/>
      <c r="AJ447" s="333"/>
      <c r="AK447" s="5"/>
      <c r="AP447" s="333"/>
      <c r="AQ447" s="5"/>
    </row>
    <row r="448" ht="15.75" customHeight="1">
      <c r="C448" s="4"/>
      <c r="D448" s="333"/>
      <c r="E448" s="5"/>
      <c r="F448" s="5"/>
      <c r="G448" s="5"/>
      <c r="H448" s="112"/>
      <c r="L448" s="4"/>
      <c r="M448" s="5"/>
      <c r="N448" s="112"/>
      <c r="R448" s="333"/>
      <c r="S448" s="5"/>
      <c r="T448" s="112"/>
      <c r="X448" s="333"/>
      <c r="Y448" s="5"/>
      <c r="AD448" s="333"/>
      <c r="AE448" s="5"/>
      <c r="AJ448" s="333"/>
      <c r="AK448" s="5"/>
      <c r="AP448" s="333"/>
      <c r="AQ448" s="5"/>
    </row>
    <row r="449" ht="15.75" customHeight="1">
      <c r="C449" s="4"/>
      <c r="D449" s="333"/>
      <c r="E449" s="5"/>
      <c r="F449" s="5"/>
      <c r="G449" s="5"/>
      <c r="H449" s="112"/>
      <c r="L449" s="4"/>
      <c r="M449" s="5"/>
      <c r="N449" s="112"/>
      <c r="R449" s="333"/>
      <c r="S449" s="5"/>
      <c r="T449" s="112"/>
      <c r="X449" s="333"/>
      <c r="Y449" s="5"/>
      <c r="AD449" s="333"/>
      <c r="AE449" s="5"/>
      <c r="AJ449" s="333"/>
      <c r="AK449" s="5"/>
      <c r="AP449" s="333"/>
      <c r="AQ449" s="5"/>
    </row>
    <row r="450" ht="15.75" customHeight="1">
      <c r="C450" s="4"/>
      <c r="D450" s="333"/>
      <c r="E450" s="5"/>
      <c r="F450" s="5"/>
      <c r="G450" s="5"/>
      <c r="H450" s="112"/>
      <c r="L450" s="4"/>
      <c r="M450" s="5"/>
      <c r="N450" s="112"/>
      <c r="R450" s="333"/>
      <c r="S450" s="5"/>
      <c r="T450" s="112"/>
      <c r="X450" s="333"/>
      <c r="Y450" s="5"/>
      <c r="AD450" s="333"/>
      <c r="AE450" s="5"/>
      <c r="AJ450" s="333"/>
      <c r="AK450" s="5"/>
      <c r="AP450" s="333"/>
      <c r="AQ450" s="5"/>
    </row>
    <row r="451" ht="15.75" customHeight="1">
      <c r="C451" s="4"/>
      <c r="D451" s="333"/>
      <c r="E451" s="5"/>
      <c r="F451" s="5"/>
      <c r="G451" s="5"/>
      <c r="H451" s="112"/>
      <c r="L451" s="4"/>
      <c r="M451" s="5"/>
      <c r="N451" s="112"/>
      <c r="R451" s="333"/>
      <c r="S451" s="5"/>
      <c r="T451" s="112"/>
      <c r="X451" s="333"/>
      <c r="Y451" s="5"/>
      <c r="AD451" s="333"/>
      <c r="AE451" s="5"/>
      <c r="AJ451" s="333"/>
      <c r="AK451" s="5"/>
      <c r="AP451" s="333"/>
      <c r="AQ451" s="5"/>
    </row>
    <row r="452" ht="15.75" customHeight="1">
      <c r="C452" s="4"/>
      <c r="D452" s="333"/>
      <c r="E452" s="5"/>
      <c r="F452" s="5"/>
      <c r="G452" s="5"/>
      <c r="H452" s="112"/>
      <c r="L452" s="4"/>
      <c r="M452" s="5"/>
      <c r="N452" s="112"/>
      <c r="R452" s="333"/>
      <c r="S452" s="5"/>
      <c r="T452" s="112"/>
      <c r="X452" s="333"/>
      <c r="Y452" s="5"/>
      <c r="AD452" s="333"/>
      <c r="AE452" s="5"/>
      <c r="AJ452" s="333"/>
      <c r="AK452" s="5"/>
      <c r="AP452" s="333"/>
      <c r="AQ452" s="5"/>
    </row>
    <row r="453" ht="15.75" customHeight="1">
      <c r="C453" s="4"/>
      <c r="D453" s="333"/>
      <c r="E453" s="5"/>
      <c r="F453" s="5"/>
      <c r="G453" s="5"/>
      <c r="H453" s="112"/>
      <c r="L453" s="4"/>
      <c r="M453" s="5"/>
      <c r="N453" s="112"/>
      <c r="R453" s="333"/>
      <c r="S453" s="5"/>
      <c r="T453" s="112"/>
      <c r="X453" s="333"/>
      <c r="Y453" s="5"/>
      <c r="AD453" s="333"/>
      <c r="AE453" s="5"/>
      <c r="AJ453" s="333"/>
      <c r="AK453" s="5"/>
      <c r="AP453" s="333"/>
      <c r="AQ453" s="5"/>
    </row>
    <row r="454" ht="15.75" customHeight="1">
      <c r="C454" s="4"/>
      <c r="D454" s="333"/>
      <c r="E454" s="5"/>
      <c r="F454" s="5"/>
      <c r="G454" s="5"/>
      <c r="H454" s="112"/>
      <c r="L454" s="4"/>
      <c r="M454" s="5"/>
      <c r="N454" s="112"/>
      <c r="R454" s="333"/>
      <c r="S454" s="5"/>
      <c r="T454" s="112"/>
      <c r="X454" s="333"/>
      <c r="Y454" s="5"/>
      <c r="AD454" s="333"/>
      <c r="AE454" s="5"/>
      <c r="AJ454" s="333"/>
      <c r="AK454" s="5"/>
      <c r="AP454" s="333"/>
      <c r="AQ454" s="5"/>
    </row>
    <row r="455" ht="15.75" customHeight="1">
      <c r="C455" s="4"/>
      <c r="D455" s="333"/>
      <c r="E455" s="5"/>
      <c r="F455" s="5"/>
      <c r="G455" s="5"/>
      <c r="H455" s="112"/>
      <c r="L455" s="4"/>
      <c r="M455" s="5"/>
      <c r="N455" s="112"/>
      <c r="R455" s="333"/>
      <c r="S455" s="5"/>
      <c r="T455" s="112"/>
      <c r="X455" s="333"/>
      <c r="Y455" s="5"/>
      <c r="AD455" s="333"/>
      <c r="AE455" s="5"/>
      <c r="AJ455" s="333"/>
      <c r="AK455" s="5"/>
      <c r="AP455" s="333"/>
      <c r="AQ455" s="5"/>
    </row>
    <row r="456" ht="15.75" customHeight="1">
      <c r="C456" s="4"/>
      <c r="D456" s="333"/>
      <c r="E456" s="5"/>
      <c r="F456" s="5"/>
      <c r="G456" s="5"/>
      <c r="H456" s="112"/>
      <c r="L456" s="4"/>
      <c r="M456" s="5"/>
      <c r="N456" s="112"/>
      <c r="R456" s="333"/>
      <c r="S456" s="5"/>
      <c r="T456" s="112"/>
      <c r="X456" s="333"/>
      <c r="Y456" s="5"/>
      <c r="AD456" s="333"/>
      <c r="AE456" s="5"/>
      <c r="AJ456" s="333"/>
      <c r="AK456" s="5"/>
      <c r="AP456" s="333"/>
      <c r="AQ456" s="5"/>
    </row>
    <row r="457" ht="15.75" customHeight="1">
      <c r="C457" s="4"/>
      <c r="D457" s="333"/>
      <c r="E457" s="5"/>
      <c r="F457" s="5"/>
      <c r="G457" s="5"/>
      <c r="H457" s="112"/>
      <c r="L457" s="4"/>
      <c r="M457" s="5"/>
      <c r="N457" s="112"/>
      <c r="R457" s="333"/>
      <c r="S457" s="5"/>
      <c r="T457" s="112"/>
      <c r="X457" s="333"/>
      <c r="Y457" s="5"/>
      <c r="AD457" s="333"/>
      <c r="AE457" s="5"/>
      <c r="AJ457" s="333"/>
      <c r="AK457" s="5"/>
      <c r="AP457" s="333"/>
      <c r="AQ457" s="5"/>
    </row>
    <row r="458" ht="15.75" customHeight="1">
      <c r="C458" s="4"/>
      <c r="D458" s="333"/>
      <c r="E458" s="5"/>
      <c r="F458" s="5"/>
      <c r="G458" s="5"/>
      <c r="H458" s="112"/>
      <c r="L458" s="4"/>
      <c r="M458" s="5"/>
      <c r="N458" s="112"/>
      <c r="R458" s="333"/>
      <c r="S458" s="5"/>
      <c r="T458" s="112"/>
      <c r="X458" s="333"/>
      <c r="Y458" s="5"/>
      <c r="AD458" s="333"/>
      <c r="AE458" s="5"/>
      <c r="AJ458" s="333"/>
      <c r="AK458" s="5"/>
      <c r="AP458" s="333"/>
      <c r="AQ458" s="5"/>
    </row>
    <row r="459" ht="15.75" customHeight="1">
      <c r="C459" s="4"/>
      <c r="D459" s="333"/>
      <c r="E459" s="5"/>
      <c r="F459" s="5"/>
      <c r="G459" s="5"/>
      <c r="H459" s="112"/>
      <c r="L459" s="4"/>
      <c r="M459" s="5"/>
      <c r="N459" s="112"/>
      <c r="R459" s="333"/>
      <c r="S459" s="5"/>
      <c r="T459" s="112"/>
      <c r="X459" s="333"/>
      <c r="Y459" s="5"/>
      <c r="AD459" s="333"/>
      <c r="AE459" s="5"/>
      <c r="AJ459" s="333"/>
      <c r="AK459" s="5"/>
      <c r="AP459" s="333"/>
      <c r="AQ459" s="5"/>
    </row>
    <row r="460" ht="15.75" customHeight="1">
      <c r="C460" s="4"/>
      <c r="D460" s="333"/>
      <c r="E460" s="5"/>
      <c r="F460" s="5"/>
      <c r="G460" s="5"/>
      <c r="H460" s="112"/>
      <c r="L460" s="4"/>
      <c r="M460" s="5"/>
      <c r="N460" s="112"/>
      <c r="R460" s="333"/>
      <c r="S460" s="5"/>
      <c r="T460" s="112"/>
      <c r="X460" s="333"/>
      <c r="Y460" s="5"/>
      <c r="AD460" s="333"/>
      <c r="AE460" s="5"/>
      <c r="AJ460" s="333"/>
      <c r="AK460" s="5"/>
      <c r="AP460" s="333"/>
      <c r="AQ460" s="5"/>
    </row>
    <row r="461" ht="15.75" customHeight="1">
      <c r="C461" s="4"/>
      <c r="D461" s="333"/>
      <c r="E461" s="5"/>
      <c r="F461" s="5"/>
      <c r="G461" s="5"/>
      <c r="H461" s="112"/>
      <c r="L461" s="4"/>
      <c r="M461" s="5"/>
      <c r="N461" s="112"/>
      <c r="R461" s="333"/>
      <c r="S461" s="5"/>
      <c r="T461" s="112"/>
      <c r="X461" s="333"/>
      <c r="Y461" s="5"/>
      <c r="AD461" s="333"/>
      <c r="AE461" s="5"/>
      <c r="AJ461" s="333"/>
      <c r="AK461" s="5"/>
      <c r="AP461" s="333"/>
      <c r="AQ461" s="5"/>
    </row>
    <row r="462" ht="15.75" customHeight="1">
      <c r="C462" s="4"/>
      <c r="D462" s="333"/>
      <c r="E462" s="5"/>
      <c r="F462" s="5"/>
      <c r="G462" s="5"/>
      <c r="H462" s="112"/>
      <c r="L462" s="4"/>
      <c r="M462" s="5"/>
      <c r="N462" s="112"/>
      <c r="R462" s="333"/>
      <c r="S462" s="5"/>
      <c r="T462" s="112"/>
      <c r="X462" s="333"/>
      <c r="Y462" s="5"/>
      <c r="AD462" s="333"/>
      <c r="AE462" s="5"/>
      <c r="AJ462" s="333"/>
      <c r="AK462" s="5"/>
      <c r="AP462" s="333"/>
      <c r="AQ462" s="5"/>
    </row>
    <row r="463" ht="15.75" customHeight="1">
      <c r="C463" s="4"/>
      <c r="D463" s="333"/>
      <c r="E463" s="5"/>
      <c r="F463" s="5"/>
      <c r="G463" s="5"/>
      <c r="H463" s="112"/>
      <c r="L463" s="4"/>
      <c r="M463" s="5"/>
      <c r="N463" s="112"/>
      <c r="R463" s="333"/>
      <c r="S463" s="5"/>
      <c r="T463" s="112"/>
      <c r="X463" s="333"/>
      <c r="Y463" s="5"/>
      <c r="AD463" s="333"/>
      <c r="AE463" s="5"/>
      <c r="AJ463" s="333"/>
      <c r="AK463" s="5"/>
      <c r="AP463" s="333"/>
      <c r="AQ463" s="5"/>
    </row>
    <row r="464" ht="15.75" customHeight="1">
      <c r="C464" s="4"/>
      <c r="D464" s="333"/>
      <c r="E464" s="5"/>
      <c r="F464" s="5"/>
      <c r="G464" s="5"/>
      <c r="H464" s="112"/>
      <c r="L464" s="4"/>
      <c r="M464" s="5"/>
      <c r="N464" s="112"/>
      <c r="R464" s="333"/>
      <c r="S464" s="5"/>
      <c r="T464" s="112"/>
      <c r="X464" s="333"/>
      <c r="Y464" s="5"/>
      <c r="AD464" s="333"/>
      <c r="AE464" s="5"/>
      <c r="AJ464" s="333"/>
      <c r="AK464" s="5"/>
      <c r="AP464" s="333"/>
      <c r="AQ464" s="5"/>
    </row>
    <row r="465" ht="15.75" customHeight="1">
      <c r="C465" s="4"/>
      <c r="D465" s="333"/>
      <c r="E465" s="5"/>
      <c r="F465" s="5"/>
      <c r="G465" s="5"/>
      <c r="H465" s="112"/>
      <c r="L465" s="4"/>
      <c r="M465" s="5"/>
      <c r="N465" s="112"/>
      <c r="R465" s="333"/>
      <c r="S465" s="5"/>
      <c r="T465" s="112"/>
      <c r="X465" s="333"/>
      <c r="Y465" s="5"/>
      <c r="AD465" s="333"/>
      <c r="AE465" s="5"/>
      <c r="AJ465" s="333"/>
      <c r="AK465" s="5"/>
      <c r="AP465" s="333"/>
      <c r="AQ465" s="5"/>
    </row>
    <row r="466" ht="15.75" customHeight="1">
      <c r="C466" s="4"/>
      <c r="D466" s="333"/>
      <c r="E466" s="5"/>
      <c r="F466" s="5"/>
      <c r="G466" s="5"/>
      <c r="H466" s="112"/>
      <c r="L466" s="4"/>
      <c r="M466" s="5"/>
      <c r="N466" s="112"/>
      <c r="R466" s="333"/>
      <c r="S466" s="5"/>
      <c r="T466" s="112"/>
      <c r="X466" s="333"/>
      <c r="Y466" s="5"/>
      <c r="AD466" s="333"/>
      <c r="AE466" s="5"/>
      <c r="AJ466" s="333"/>
      <c r="AK466" s="5"/>
      <c r="AP466" s="333"/>
      <c r="AQ466" s="5"/>
    </row>
    <row r="467" ht="15.75" customHeight="1">
      <c r="C467" s="4"/>
      <c r="D467" s="333"/>
      <c r="E467" s="5"/>
      <c r="F467" s="5"/>
      <c r="G467" s="5"/>
      <c r="H467" s="112"/>
      <c r="L467" s="4"/>
      <c r="M467" s="5"/>
      <c r="N467" s="112"/>
      <c r="R467" s="333"/>
      <c r="S467" s="5"/>
      <c r="T467" s="112"/>
      <c r="X467" s="333"/>
      <c r="Y467" s="5"/>
      <c r="AD467" s="333"/>
      <c r="AE467" s="5"/>
      <c r="AJ467" s="333"/>
      <c r="AK467" s="5"/>
      <c r="AP467" s="333"/>
      <c r="AQ467" s="5"/>
    </row>
    <row r="468" ht="15.75" customHeight="1">
      <c r="C468" s="4"/>
      <c r="D468" s="333"/>
      <c r="E468" s="5"/>
      <c r="F468" s="5"/>
      <c r="G468" s="5"/>
      <c r="H468" s="112"/>
      <c r="L468" s="4"/>
      <c r="M468" s="5"/>
      <c r="N468" s="112"/>
      <c r="R468" s="333"/>
      <c r="S468" s="5"/>
      <c r="T468" s="112"/>
      <c r="X468" s="333"/>
      <c r="Y468" s="5"/>
      <c r="AD468" s="333"/>
      <c r="AE468" s="5"/>
      <c r="AJ468" s="333"/>
      <c r="AK468" s="5"/>
      <c r="AP468" s="333"/>
      <c r="AQ468" s="5"/>
    </row>
    <row r="469" ht="15.75" customHeight="1">
      <c r="C469" s="4"/>
      <c r="D469" s="333"/>
      <c r="E469" s="5"/>
      <c r="F469" s="5"/>
      <c r="G469" s="5"/>
      <c r="H469" s="112"/>
      <c r="L469" s="4"/>
      <c r="M469" s="5"/>
      <c r="N469" s="112"/>
      <c r="R469" s="333"/>
      <c r="S469" s="5"/>
      <c r="T469" s="112"/>
      <c r="X469" s="333"/>
      <c r="Y469" s="5"/>
      <c r="AD469" s="333"/>
      <c r="AE469" s="5"/>
      <c r="AJ469" s="333"/>
      <c r="AK469" s="5"/>
      <c r="AP469" s="333"/>
      <c r="AQ469" s="5"/>
    </row>
    <row r="470" ht="15.75" customHeight="1">
      <c r="C470" s="4"/>
      <c r="D470" s="333"/>
      <c r="E470" s="5"/>
      <c r="F470" s="5"/>
      <c r="G470" s="5"/>
      <c r="H470" s="112"/>
      <c r="L470" s="4"/>
      <c r="M470" s="5"/>
      <c r="N470" s="112"/>
      <c r="R470" s="333"/>
      <c r="S470" s="5"/>
      <c r="T470" s="112"/>
      <c r="X470" s="333"/>
      <c r="Y470" s="5"/>
      <c r="AD470" s="333"/>
      <c r="AE470" s="5"/>
      <c r="AJ470" s="333"/>
      <c r="AK470" s="5"/>
      <c r="AP470" s="333"/>
      <c r="AQ470" s="5"/>
    </row>
    <row r="471" ht="15.75" customHeight="1">
      <c r="C471" s="4"/>
      <c r="D471" s="333"/>
      <c r="E471" s="5"/>
      <c r="F471" s="5"/>
      <c r="G471" s="5"/>
      <c r="H471" s="112"/>
      <c r="L471" s="4"/>
      <c r="M471" s="5"/>
      <c r="N471" s="112"/>
      <c r="R471" s="333"/>
      <c r="S471" s="5"/>
      <c r="T471" s="112"/>
      <c r="X471" s="333"/>
      <c r="Y471" s="5"/>
      <c r="AD471" s="333"/>
      <c r="AE471" s="5"/>
      <c r="AJ471" s="333"/>
      <c r="AK471" s="5"/>
      <c r="AP471" s="333"/>
      <c r="AQ471" s="5"/>
    </row>
    <row r="472" ht="15.75" customHeight="1">
      <c r="C472" s="4"/>
      <c r="D472" s="333"/>
      <c r="E472" s="5"/>
      <c r="F472" s="5"/>
      <c r="G472" s="5"/>
      <c r="H472" s="112"/>
      <c r="L472" s="4"/>
      <c r="M472" s="5"/>
      <c r="N472" s="112"/>
      <c r="R472" s="333"/>
      <c r="S472" s="5"/>
      <c r="T472" s="112"/>
      <c r="X472" s="333"/>
      <c r="Y472" s="5"/>
      <c r="AD472" s="333"/>
      <c r="AE472" s="5"/>
      <c r="AJ472" s="333"/>
      <c r="AK472" s="5"/>
      <c r="AP472" s="333"/>
      <c r="AQ472" s="5"/>
    </row>
    <row r="473" ht="15.75" customHeight="1">
      <c r="C473" s="4"/>
      <c r="D473" s="333"/>
      <c r="E473" s="5"/>
      <c r="F473" s="5"/>
      <c r="G473" s="5"/>
      <c r="H473" s="112"/>
      <c r="L473" s="4"/>
      <c r="M473" s="5"/>
      <c r="N473" s="112"/>
      <c r="R473" s="333"/>
      <c r="S473" s="5"/>
      <c r="T473" s="112"/>
      <c r="X473" s="333"/>
      <c r="Y473" s="5"/>
      <c r="AD473" s="333"/>
      <c r="AE473" s="5"/>
      <c r="AJ473" s="333"/>
      <c r="AK473" s="5"/>
      <c r="AP473" s="333"/>
      <c r="AQ473" s="5"/>
    </row>
    <row r="474" ht="15.75" customHeight="1">
      <c r="C474" s="4"/>
      <c r="D474" s="333"/>
      <c r="E474" s="5"/>
      <c r="F474" s="5"/>
      <c r="G474" s="5"/>
      <c r="H474" s="112"/>
      <c r="L474" s="4"/>
      <c r="M474" s="5"/>
      <c r="N474" s="112"/>
      <c r="R474" s="333"/>
      <c r="S474" s="5"/>
      <c r="T474" s="112"/>
      <c r="X474" s="333"/>
      <c r="Y474" s="5"/>
      <c r="AD474" s="333"/>
      <c r="AE474" s="5"/>
      <c r="AJ474" s="333"/>
      <c r="AK474" s="5"/>
      <c r="AP474" s="333"/>
      <c r="AQ474" s="5"/>
    </row>
    <row r="475" ht="15.75" customHeight="1">
      <c r="C475" s="4"/>
      <c r="D475" s="333"/>
      <c r="E475" s="5"/>
      <c r="F475" s="5"/>
      <c r="G475" s="5"/>
      <c r="H475" s="112"/>
      <c r="L475" s="4"/>
      <c r="M475" s="5"/>
      <c r="N475" s="112"/>
      <c r="R475" s="333"/>
      <c r="S475" s="5"/>
      <c r="T475" s="112"/>
      <c r="X475" s="333"/>
      <c r="Y475" s="5"/>
      <c r="AD475" s="333"/>
      <c r="AE475" s="5"/>
      <c r="AJ475" s="333"/>
      <c r="AK475" s="5"/>
      <c r="AP475" s="333"/>
      <c r="AQ475" s="5"/>
    </row>
    <row r="476" ht="15.75" customHeight="1">
      <c r="C476" s="4"/>
      <c r="D476" s="333"/>
      <c r="E476" s="5"/>
      <c r="F476" s="5"/>
      <c r="G476" s="5"/>
      <c r="H476" s="112"/>
      <c r="L476" s="4"/>
      <c r="M476" s="5"/>
      <c r="N476" s="112"/>
      <c r="R476" s="333"/>
      <c r="S476" s="5"/>
      <c r="T476" s="112"/>
      <c r="X476" s="333"/>
      <c r="Y476" s="5"/>
      <c r="AD476" s="333"/>
      <c r="AE476" s="5"/>
      <c r="AJ476" s="333"/>
      <c r="AK476" s="5"/>
      <c r="AP476" s="333"/>
      <c r="AQ476" s="5"/>
    </row>
    <row r="477" ht="15.75" customHeight="1">
      <c r="C477" s="4"/>
      <c r="D477" s="333"/>
      <c r="E477" s="5"/>
      <c r="F477" s="5"/>
      <c r="G477" s="5"/>
      <c r="H477" s="112"/>
      <c r="L477" s="4"/>
      <c r="M477" s="5"/>
      <c r="N477" s="112"/>
      <c r="R477" s="333"/>
      <c r="S477" s="5"/>
      <c r="T477" s="112"/>
      <c r="X477" s="333"/>
      <c r="Y477" s="5"/>
      <c r="AD477" s="333"/>
      <c r="AE477" s="5"/>
      <c r="AJ477" s="333"/>
      <c r="AK477" s="5"/>
      <c r="AP477" s="333"/>
      <c r="AQ477" s="5"/>
    </row>
    <row r="478" ht="15.75" customHeight="1">
      <c r="C478" s="4"/>
      <c r="D478" s="333"/>
      <c r="E478" s="5"/>
      <c r="F478" s="5"/>
      <c r="G478" s="5"/>
      <c r="H478" s="112"/>
      <c r="L478" s="4"/>
      <c r="M478" s="5"/>
      <c r="N478" s="112"/>
      <c r="R478" s="333"/>
      <c r="S478" s="5"/>
      <c r="T478" s="112"/>
      <c r="X478" s="333"/>
      <c r="Y478" s="5"/>
      <c r="AD478" s="333"/>
      <c r="AE478" s="5"/>
      <c r="AJ478" s="333"/>
      <c r="AK478" s="5"/>
      <c r="AP478" s="333"/>
      <c r="AQ478" s="5"/>
    </row>
    <row r="479" ht="15.75" customHeight="1">
      <c r="C479" s="4"/>
      <c r="D479" s="333"/>
      <c r="E479" s="5"/>
      <c r="F479" s="5"/>
      <c r="G479" s="5"/>
      <c r="H479" s="112"/>
      <c r="L479" s="4"/>
      <c r="M479" s="5"/>
      <c r="N479" s="112"/>
      <c r="R479" s="333"/>
      <c r="S479" s="5"/>
      <c r="T479" s="112"/>
      <c r="X479" s="333"/>
      <c r="Y479" s="5"/>
      <c r="AD479" s="333"/>
      <c r="AE479" s="5"/>
      <c r="AJ479" s="333"/>
      <c r="AK479" s="5"/>
      <c r="AP479" s="333"/>
      <c r="AQ479" s="5"/>
    </row>
    <row r="480" ht="15.75" customHeight="1">
      <c r="C480" s="4"/>
      <c r="D480" s="333"/>
      <c r="E480" s="5"/>
      <c r="F480" s="5"/>
      <c r="G480" s="5"/>
      <c r="H480" s="112"/>
      <c r="L480" s="4"/>
      <c r="M480" s="5"/>
      <c r="N480" s="112"/>
      <c r="R480" s="333"/>
      <c r="S480" s="5"/>
      <c r="T480" s="112"/>
      <c r="X480" s="333"/>
      <c r="Y480" s="5"/>
      <c r="AD480" s="333"/>
      <c r="AE480" s="5"/>
      <c r="AJ480" s="333"/>
      <c r="AK480" s="5"/>
      <c r="AP480" s="333"/>
      <c r="AQ480" s="5"/>
    </row>
    <row r="481" ht="15.75" customHeight="1">
      <c r="C481" s="4"/>
      <c r="D481" s="333"/>
      <c r="E481" s="5"/>
      <c r="F481" s="5"/>
      <c r="G481" s="5"/>
      <c r="H481" s="112"/>
      <c r="L481" s="4"/>
      <c r="M481" s="5"/>
      <c r="N481" s="112"/>
      <c r="R481" s="333"/>
      <c r="S481" s="5"/>
      <c r="T481" s="112"/>
      <c r="X481" s="333"/>
      <c r="Y481" s="5"/>
      <c r="AD481" s="333"/>
      <c r="AE481" s="5"/>
      <c r="AJ481" s="333"/>
      <c r="AK481" s="5"/>
      <c r="AP481" s="333"/>
      <c r="AQ481" s="5"/>
    </row>
    <row r="482" ht="15.75" customHeight="1">
      <c r="C482" s="4"/>
      <c r="D482" s="333"/>
      <c r="E482" s="5"/>
      <c r="F482" s="5"/>
      <c r="G482" s="5"/>
      <c r="H482" s="112"/>
      <c r="L482" s="4"/>
      <c r="M482" s="5"/>
      <c r="N482" s="112"/>
      <c r="R482" s="333"/>
      <c r="S482" s="5"/>
      <c r="T482" s="112"/>
      <c r="X482" s="333"/>
      <c r="Y482" s="5"/>
      <c r="AD482" s="333"/>
      <c r="AE482" s="5"/>
      <c r="AJ482" s="333"/>
      <c r="AK482" s="5"/>
      <c r="AP482" s="333"/>
      <c r="AQ482" s="5"/>
    </row>
    <row r="483" ht="15.75" customHeight="1">
      <c r="C483" s="4"/>
      <c r="D483" s="333"/>
      <c r="E483" s="5"/>
      <c r="F483" s="5"/>
      <c r="G483" s="5"/>
      <c r="H483" s="112"/>
      <c r="L483" s="4"/>
      <c r="M483" s="5"/>
      <c r="N483" s="112"/>
      <c r="R483" s="333"/>
      <c r="S483" s="5"/>
      <c r="T483" s="112"/>
      <c r="X483" s="333"/>
      <c r="Y483" s="5"/>
      <c r="AD483" s="333"/>
      <c r="AE483" s="5"/>
      <c r="AJ483" s="333"/>
      <c r="AK483" s="5"/>
      <c r="AP483" s="333"/>
      <c r="AQ483" s="5"/>
    </row>
    <row r="484" ht="15.75" customHeight="1">
      <c r="C484" s="4"/>
      <c r="D484" s="333"/>
      <c r="E484" s="5"/>
      <c r="F484" s="5"/>
      <c r="G484" s="5"/>
      <c r="H484" s="112"/>
      <c r="L484" s="4"/>
      <c r="M484" s="5"/>
      <c r="N484" s="112"/>
      <c r="R484" s="333"/>
      <c r="S484" s="5"/>
      <c r="T484" s="112"/>
      <c r="X484" s="333"/>
      <c r="Y484" s="5"/>
      <c r="AD484" s="333"/>
      <c r="AE484" s="5"/>
      <c r="AJ484" s="333"/>
      <c r="AK484" s="5"/>
      <c r="AP484" s="333"/>
      <c r="AQ484" s="5"/>
    </row>
    <row r="485" ht="15.75" customHeight="1">
      <c r="C485" s="4"/>
      <c r="D485" s="333"/>
      <c r="E485" s="5"/>
      <c r="F485" s="5"/>
      <c r="G485" s="5"/>
      <c r="H485" s="112"/>
      <c r="L485" s="4"/>
      <c r="M485" s="5"/>
      <c r="N485" s="112"/>
      <c r="R485" s="333"/>
      <c r="S485" s="5"/>
      <c r="T485" s="112"/>
      <c r="X485" s="333"/>
      <c r="Y485" s="5"/>
      <c r="AD485" s="333"/>
      <c r="AE485" s="5"/>
      <c r="AJ485" s="333"/>
      <c r="AK485" s="5"/>
      <c r="AP485" s="333"/>
      <c r="AQ485" s="5"/>
    </row>
    <row r="486" ht="15.75" customHeight="1">
      <c r="C486" s="4"/>
      <c r="D486" s="333"/>
      <c r="E486" s="5"/>
      <c r="F486" s="5"/>
      <c r="G486" s="5"/>
      <c r="H486" s="112"/>
      <c r="L486" s="4"/>
      <c r="M486" s="5"/>
      <c r="N486" s="112"/>
      <c r="R486" s="333"/>
      <c r="S486" s="5"/>
      <c r="T486" s="112"/>
      <c r="X486" s="333"/>
      <c r="Y486" s="5"/>
      <c r="AD486" s="333"/>
      <c r="AE486" s="5"/>
      <c r="AJ486" s="333"/>
      <c r="AK486" s="5"/>
      <c r="AP486" s="333"/>
      <c r="AQ486" s="5"/>
    </row>
    <row r="487" ht="15.75" customHeight="1">
      <c r="C487" s="4"/>
      <c r="D487" s="333"/>
      <c r="E487" s="5"/>
      <c r="F487" s="5"/>
      <c r="G487" s="5"/>
      <c r="H487" s="112"/>
      <c r="L487" s="4"/>
      <c r="M487" s="5"/>
      <c r="N487" s="112"/>
      <c r="R487" s="333"/>
      <c r="S487" s="5"/>
      <c r="T487" s="112"/>
      <c r="X487" s="333"/>
      <c r="Y487" s="5"/>
      <c r="AD487" s="333"/>
      <c r="AE487" s="5"/>
      <c r="AJ487" s="333"/>
      <c r="AK487" s="5"/>
      <c r="AP487" s="333"/>
      <c r="AQ487" s="5"/>
    </row>
    <row r="488" ht="15.75" customHeight="1">
      <c r="C488" s="4"/>
      <c r="D488" s="333"/>
      <c r="E488" s="5"/>
      <c r="F488" s="5"/>
      <c r="G488" s="5"/>
      <c r="H488" s="112"/>
      <c r="L488" s="4"/>
      <c r="M488" s="5"/>
      <c r="N488" s="112"/>
      <c r="R488" s="333"/>
      <c r="S488" s="5"/>
      <c r="T488" s="112"/>
      <c r="X488" s="333"/>
      <c r="Y488" s="5"/>
      <c r="AD488" s="333"/>
      <c r="AE488" s="5"/>
      <c r="AJ488" s="333"/>
      <c r="AK488" s="5"/>
      <c r="AP488" s="333"/>
      <c r="AQ488" s="5"/>
    </row>
    <row r="489" ht="15.75" customHeight="1">
      <c r="C489" s="4"/>
      <c r="D489" s="333"/>
      <c r="E489" s="5"/>
      <c r="F489" s="5"/>
      <c r="G489" s="5"/>
      <c r="H489" s="112"/>
      <c r="L489" s="4"/>
      <c r="M489" s="5"/>
      <c r="N489" s="112"/>
      <c r="R489" s="333"/>
      <c r="S489" s="5"/>
      <c r="T489" s="112"/>
      <c r="X489" s="333"/>
      <c r="Y489" s="5"/>
      <c r="AD489" s="333"/>
      <c r="AE489" s="5"/>
      <c r="AJ489" s="333"/>
      <c r="AK489" s="5"/>
      <c r="AP489" s="333"/>
      <c r="AQ489" s="5"/>
    </row>
    <row r="490" ht="15.75" customHeight="1">
      <c r="C490" s="4"/>
      <c r="D490" s="333"/>
      <c r="E490" s="5"/>
      <c r="F490" s="5"/>
      <c r="G490" s="5"/>
      <c r="H490" s="112"/>
      <c r="L490" s="4"/>
      <c r="M490" s="5"/>
      <c r="N490" s="112"/>
      <c r="R490" s="333"/>
      <c r="S490" s="5"/>
      <c r="T490" s="112"/>
      <c r="X490" s="333"/>
      <c r="Y490" s="5"/>
      <c r="AD490" s="333"/>
      <c r="AE490" s="5"/>
      <c r="AJ490" s="333"/>
      <c r="AK490" s="5"/>
      <c r="AP490" s="333"/>
      <c r="AQ490" s="5"/>
    </row>
    <row r="491" ht="15.75" customHeight="1">
      <c r="C491" s="4"/>
      <c r="D491" s="333"/>
      <c r="E491" s="5"/>
      <c r="F491" s="5"/>
      <c r="G491" s="5"/>
      <c r="H491" s="112"/>
      <c r="L491" s="4"/>
      <c r="M491" s="5"/>
      <c r="N491" s="112"/>
      <c r="R491" s="333"/>
      <c r="S491" s="5"/>
      <c r="T491" s="112"/>
      <c r="X491" s="333"/>
      <c r="Y491" s="5"/>
      <c r="AD491" s="333"/>
      <c r="AE491" s="5"/>
      <c r="AJ491" s="333"/>
      <c r="AK491" s="5"/>
      <c r="AP491" s="333"/>
      <c r="AQ491" s="5"/>
    </row>
    <row r="492" ht="15.75" customHeight="1">
      <c r="C492" s="4"/>
      <c r="D492" s="333"/>
      <c r="E492" s="5"/>
      <c r="F492" s="5"/>
      <c r="G492" s="5"/>
      <c r="H492" s="112"/>
      <c r="L492" s="4"/>
      <c r="M492" s="5"/>
      <c r="N492" s="112"/>
      <c r="R492" s="333"/>
      <c r="S492" s="5"/>
      <c r="T492" s="112"/>
      <c r="X492" s="333"/>
      <c r="Y492" s="5"/>
      <c r="AD492" s="333"/>
      <c r="AE492" s="5"/>
      <c r="AJ492" s="333"/>
      <c r="AK492" s="5"/>
      <c r="AP492" s="333"/>
      <c r="AQ492" s="5"/>
    </row>
    <row r="493" ht="15.75" customHeight="1">
      <c r="C493" s="4"/>
      <c r="D493" s="333"/>
      <c r="E493" s="5"/>
      <c r="F493" s="5"/>
      <c r="G493" s="5"/>
      <c r="H493" s="112"/>
      <c r="L493" s="4"/>
      <c r="M493" s="5"/>
      <c r="N493" s="112"/>
      <c r="R493" s="333"/>
      <c r="S493" s="5"/>
      <c r="T493" s="112"/>
      <c r="X493" s="333"/>
      <c r="Y493" s="5"/>
      <c r="AD493" s="333"/>
      <c r="AE493" s="5"/>
      <c r="AJ493" s="333"/>
      <c r="AK493" s="5"/>
      <c r="AP493" s="333"/>
      <c r="AQ493" s="5"/>
    </row>
    <row r="494" ht="15.75" customHeight="1">
      <c r="C494" s="4"/>
      <c r="D494" s="333"/>
      <c r="E494" s="5"/>
      <c r="F494" s="5"/>
      <c r="G494" s="5"/>
      <c r="H494" s="112"/>
      <c r="L494" s="4"/>
      <c r="M494" s="5"/>
      <c r="N494" s="112"/>
      <c r="R494" s="333"/>
      <c r="S494" s="5"/>
      <c r="T494" s="112"/>
      <c r="X494" s="333"/>
      <c r="Y494" s="5"/>
      <c r="AD494" s="333"/>
      <c r="AE494" s="5"/>
      <c r="AJ494" s="333"/>
      <c r="AK494" s="5"/>
      <c r="AP494" s="333"/>
      <c r="AQ494" s="5"/>
    </row>
    <row r="495" ht="15.75" customHeight="1">
      <c r="C495" s="4"/>
      <c r="D495" s="333"/>
      <c r="E495" s="5"/>
      <c r="F495" s="5"/>
      <c r="G495" s="5"/>
      <c r="H495" s="112"/>
      <c r="L495" s="4"/>
      <c r="M495" s="5"/>
      <c r="N495" s="112"/>
      <c r="R495" s="333"/>
      <c r="S495" s="5"/>
      <c r="T495" s="112"/>
      <c r="X495" s="333"/>
      <c r="Y495" s="5"/>
      <c r="AD495" s="333"/>
      <c r="AE495" s="5"/>
      <c r="AJ495" s="333"/>
      <c r="AK495" s="5"/>
      <c r="AP495" s="333"/>
      <c r="AQ495" s="5"/>
    </row>
    <row r="496" ht="15.75" customHeight="1">
      <c r="C496" s="4"/>
      <c r="D496" s="333"/>
      <c r="E496" s="5"/>
      <c r="F496" s="5"/>
      <c r="G496" s="5"/>
      <c r="H496" s="112"/>
      <c r="L496" s="4"/>
      <c r="M496" s="5"/>
      <c r="N496" s="112"/>
      <c r="R496" s="333"/>
      <c r="S496" s="5"/>
      <c r="T496" s="112"/>
      <c r="X496" s="333"/>
      <c r="Y496" s="5"/>
      <c r="AD496" s="333"/>
      <c r="AE496" s="5"/>
      <c r="AJ496" s="333"/>
      <c r="AK496" s="5"/>
      <c r="AP496" s="333"/>
      <c r="AQ496" s="5"/>
    </row>
    <row r="497" ht="15.75" customHeight="1">
      <c r="C497" s="4"/>
      <c r="D497" s="333"/>
      <c r="E497" s="5"/>
      <c r="F497" s="5"/>
      <c r="G497" s="5"/>
      <c r="H497" s="112"/>
      <c r="L497" s="4"/>
      <c r="M497" s="5"/>
      <c r="N497" s="112"/>
      <c r="R497" s="333"/>
      <c r="S497" s="5"/>
      <c r="T497" s="112"/>
      <c r="X497" s="333"/>
      <c r="Y497" s="5"/>
      <c r="AD497" s="333"/>
      <c r="AE497" s="5"/>
      <c r="AJ497" s="333"/>
      <c r="AK497" s="5"/>
      <c r="AP497" s="333"/>
      <c r="AQ497" s="5"/>
    </row>
    <row r="498" ht="15.75" customHeight="1">
      <c r="C498" s="4"/>
      <c r="D498" s="333"/>
      <c r="E498" s="5"/>
      <c r="F498" s="5"/>
      <c r="G498" s="5"/>
      <c r="H498" s="112"/>
      <c r="L498" s="4"/>
      <c r="M498" s="5"/>
      <c r="N498" s="112"/>
      <c r="R498" s="333"/>
      <c r="S498" s="5"/>
      <c r="T498" s="112"/>
      <c r="X498" s="333"/>
      <c r="Y498" s="5"/>
      <c r="AD498" s="333"/>
      <c r="AE498" s="5"/>
      <c r="AJ498" s="333"/>
      <c r="AK498" s="5"/>
      <c r="AP498" s="333"/>
      <c r="AQ498" s="5"/>
    </row>
    <row r="499" ht="15.75" customHeight="1">
      <c r="C499" s="4"/>
      <c r="D499" s="333"/>
      <c r="E499" s="5"/>
      <c r="F499" s="5"/>
      <c r="G499" s="5"/>
      <c r="H499" s="112"/>
      <c r="L499" s="4"/>
      <c r="M499" s="5"/>
      <c r="N499" s="112"/>
      <c r="R499" s="333"/>
      <c r="S499" s="5"/>
      <c r="T499" s="112"/>
      <c r="X499" s="333"/>
      <c r="Y499" s="5"/>
      <c r="AD499" s="333"/>
      <c r="AE499" s="5"/>
      <c r="AJ499" s="333"/>
      <c r="AK499" s="5"/>
      <c r="AP499" s="333"/>
      <c r="AQ499" s="5"/>
    </row>
    <row r="500" ht="15.75" customHeight="1">
      <c r="C500" s="4"/>
      <c r="D500" s="333"/>
      <c r="E500" s="5"/>
      <c r="F500" s="5"/>
      <c r="G500" s="5"/>
      <c r="H500" s="112"/>
      <c r="L500" s="4"/>
      <c r="M500" s="5"/>
      <c r="N500" s="112"/>
      <c r="R500" s="333"/>
      <c r="S500" s="5"/>
      <c r="T500" s="112"/>
      <c r="X500" s="333"/>
      <c r="Y500" s="5"/>
      <c r="AD500" s="333"/>
      <c r="AE500" s="5"/>
      <c r="AJ500" s="333"/>
      <c r="AK500" s="5"/>
      <c r="AP500" s="333"/>
      <c r="AQ500" s="5"/>
    </row>
    <row r="501" ht="15.75" customHeight="1">
      <c r="C501" s="4"/>
      <c r="D501" s="333"/>
      <c r="E501" s="5"/>
      <c r="F501" s="5"/>
      <c r="G501" s="5"/>
      <c r="H501" s="112"/>
      <c r="L501" s="4"/>
      <c r="M501" s="5"/>
      <c r="N501" s="112"/>
      <c r="R501" s="333"/>
      <c r="S501" s="5"/>
      <c r="T501" s="112"/>
      <c r="X501" s="333"/>
      <c r="Y501" s="5"/>
      <c r="AD501" s="333"/>
      <c r="AE501" s="5"/>
      <c r="AJ501" s="333"/>
      <c r="AK501" s="5"/>
      <c r="AP501" s="333"/>
      <c r="AQ501" s="5"/>
    </row>
    <row r="502" ht="15.75" customHeight="1">
      <c r="C502" s="4"/>
      <c r="D502" s="333"/>
      <c r="E502" s="5"/>
      <c r="F502" s="5"/>
      <c r="G502" s="5"/>
      <c r="H502" s="112"/>
      <c r="L502" s="4"/>
      <c r="M502" s="5"/>
      <c r="N502" s="112"/>
      <c r="R502" s="333"/>
      <c r="S502" s="5"/>
      <c r="T502" s="112"/>
      <c r="X502" s="333"/>
      <c r="Y502" s="5"/>
      <c r="AD502" s="333"/>
      <c r="AE502" s="5"/>
      <c r="AJ502" s="333"/>
      <c r="AK502" s="5"/>
      <c r="AP502" s="333"/>
      <c r="AQ502" s="5"/>
    </row>
    <row r="503" ht="15.75" customHeight="1">
      <c r="C503" s="4"/>
      <c r="D503" s="333"/>
      <c r="E503" s="5"/>
      <c r="F503" s="5"/>
      <c r="G503" s="5"/>
      <c r="H503" s="112"/>
      <c r="L503" s="4"/>
      <c r="M503" s="5"/>
      <c r="N503" s="112"/>
      <c r="R503" s="333"/>
      <c r="S503" s="5"/>
      <c r="T503" s="112"/>
      <c r="X503" s="333"/>
      <c r="Y503" s="5"/>
      <c r="AD503" s="333"/>
      <c r="AE503" s="5"/>
      <c r="AJ503" s="333"/>
      <c r="AK503" s="5"/>
      <c r="AP503" s="333"/>
      <c r="AQ503" s="5"/>
    </row>
    <row r="504" ht="15.75" customHeight="1">
      <c r="C504" s="4"/>
      <c r="D504" s="333"/>
      <c r="E504" s="5"/>
      <c r="F504" s="5"/>
      <c r="G504" s="5"/>
      <c r="H504" s="112"/>
      <c r="L504" s="4"/>
      <c r="M504" s="5"/>
      <c r="N504" s="112"/>
      <c r="R504" s="333"/>
      <c r="S504" s="5"/>
      <c r="T504" s="112"/>
      <c r="X504" s="333"/>
      <c r="Y504" s="5"/>
      <c r="AD504" s="333"/>
      <c r="AE504" s="5"/>
      <c r="AJ504" s="333"/>
      <c r="AK504" s="5"/>
      <c r="AP504" s="333"/>
      <c r="AQ504" s="5"/>
    </row>
    <row r="505" ht="15.75" customHeight="1">
      <c r="C505" s="4"/>
      <c r="D505" s="333"/>
      <c r="E505" s="5"/>
      <c r="F505" s="5"/>
      <c r="G505" s="5"/>
      <c r="H505" s="112"/>
      <c r="L505" s="4"/>
      <c r="M505" s="5"/>
      <c r="N505" s="112"/>
      <c r="R505" s="333"/>
      <c r="S505" s="5"/>
      <c r="T505" s="112"/>
      <c r="X505" s="333"/>
      <c r="Y505" s="5"/>
      <c r="AD505" s="333"/>
      <c r="AE505" s="5"/>
      <c r="AJ505" s="333"/>
      <c r="AK505" s="5"/>
      <c r="AP505" s="333"/>
      <c r="AQ505" s="5"/>
    </row>
    <row r="506" ht="15.75" customHeight="1">
      <c r="C506" s="4"/>
      <c r="D506" s="333"/>
      <c r="E506" s="5"/>
      <c r="F506" s="5"/>
      <c r="G506" s="5"/>
      <c r="H506" s="112"/>
      <c r="L506" s="4"/>
      <c r="M506" s="5"/>
      <c r="N506" s="112"/>
      <c r="R506" s="333"/>
      <c r="S506" s="5"/>
      <c r="T506" s="112"/>
      <c r="X506" s="333"/>
      <c r="Y506" s="5"/>
      <c r="AD506" s="333"/>
      <c r="AE506" s="5"/>
      <c r="AJ506" s="333"/>
      <c r="AK506" s="5"/>
      <c r="AP506" s="333"/>
      <c r="AQ506" s="5"/>
    </row>
    <row r="507" ht="15.75" customHeight="1">
      <c r="C507" s="4"/>
      <c r="D507" s="333"/>
      <c r="E507" s="5"/>
      <c r="F507" s="5"/>
      <c r="G507" s="5"/>
      <c r="H507" s="112"/>
      <c r="L507" s="4"/>
      <c r="M507" s="5"/>
      <c r="N507" s="112"/>
      <c r="R507" s="333"/>
      <c r="S507" s="5"/>
      <c r="T507" s="112"/>
      <c r="X507" s="333"/>
      <c r="Y507" s="5"/>
      <c r="AD507" s="333"/>
      <c r="AE507" s="5"/>
      <c r="AJ507" s="333"/>
      <c r="AK507" s="5"/>
      <c r="AP507" s="333"/>
      <c r="AQ507" s="5"/>
    </row>
    <row r="508" ht="15.75" customHeight="1">
      <c r="C508" s="4"/>
      <c r="D508" s="333"/>
      <c r="E508" s="5"/>
      <c r="F508" s="5"/>
      <c r="G508" s="5"/>
      <c r="H508" s="112"/>
      <c r="L508" s="4"/>
      <c r="M508" s="5"/>
      <c r="N508" s="112"/>
      <c r="R508" s="333"/>
      <c r="S508" s="5"/>
      <c r="T508" s="112"/>
      <c r="X508" s="333"/>
      <c r="Y508" s="5"/>
      <c r="AD508" s="333"/>
      <c r="AE508" s="5"/>
      <c r="AJ508" s="333"/>
      <c r="AK508" s="5"/>
      <c r="AP508" s="333"/>
      <c r="AQ508" s="5"/>
    </row>
    <row r="509" ht="15.75" customHeight="1">
      <c r="C509" s="4"/>
      <c r="D509" s="333"/>
      <c r="E509" s="5"/>
      <c r="F509" s="5"/>
      <c r="G509" s="5"/>
      <c r="H509" s="112"/>
      <c r="L509" s="4"/>
      <c r="M509" s="5"/>
      <c r="N509" s="112"/>
      <c r="R509" s="333"/>
      <c r="S509" s="5"/>
      <c r="T509" s="112"/>
      <c r="X509" s="333"/>
      <c r="Y509" s="5"/>
      <c r="AD509" s="333"/>
      <c r="AE509" s="5"/>
      <c r="AJ509" s="333"/>
      <c r="AK509" s="5"/>
      <c r="AP509" s="333"/>
      <c r="AQ509" s="5"/>
    </row>
    <row r="510" ht="15.75" customHeight="1">
      <c r="C510" s="4"/>
      <c r="D510" s="333"/>
      <c r="E510" s="5"/>
      <c r="F510" s="5"/>
      <c r="G510" s="5"/>
      <c r="H510" s="112"/>
      <c r="L510" s="4"/>
      <c r="M510" s="5"/>
      <c r="N510" s="112"/>
      <c r="R510" s="333"/>
      <c r="S510" s="5"/>
      <c r="T510" s="112"/>
      <c r="X510" s="333"/>
      <c r="Y510" s="5"/>
      <c r="AD510" s="333"/>
      <c r="AE510" s="5"/>
      <c r="AJ510" s="333"/>
      <c r="AK510" s="5"/>
      <c r="AP510" s="333"/>
      <c r="AQ510" s="5"/>
    </row>
    <row r="511" ht="15.75" customHeight="1">
      <c r="C511" s="4"/>
      <c r="D511" s="333"/>
      <c r="E511" s="5"/>
      <c r="F511" s="5"/>
      <c r="G511" s="5"/>
      <c r="H511" s="112"/>
      <c r="L511" s="4"/>
      <c r="M511" s="5"/>
      <c r="N511" s="112"/>
      <c r="R511" s="333"/>
      <c r="S511" s="5"/>
      <c r="T511" s="112"/>
      <c r="X511" s="333"/>
      <c r="Y511" s="5"/>
      <c r="AD511" s="333"/>
      <c r="AE511" s="5"/>
      <c r="AJ511" s="333"/>
      <c r="AK511" s="5"/>
      <c r="AP511" s="333"/>
      <c r="AQ511" s="5"/>
    </row>
    <row r="512" ht="15.75" customHeight="1">
      <c r="C512" s="4"/>
      <c r="D512" s="333"/>
      <c r="E512" s="5"/>
      <c r="F512" s="5"/>
      <c r="G512" s="5"/>
      <c r="H512" s="112"/>
      <c r="L512" s="4"/>
      <c r="M512" s="5"/>
      <c r="N512" s="112"/>
      <c r="R512" s="333"/>
      <c r="S512" s="5"/>
      <c r="T512" s="112"/>
      <c r="X512" s="333"/>
      <c r="Y512" s="5"/>
      <c r="AD512" s="333"/>
      <c r="AE512" s="5"/>
      <c r="AJ512" s="333"/>
      <c r="AK512" s="5"/>
      <c r="AP512" s="333"/>
      <c r="AQ512" s="5"/>
    </row>
    <row r="513" ht="15.75" customHeight="1">
      <c r="C513" s="4"/>
      <c r="D513" s="333"/>
      <c r="E513" s="5"/>
      <c r="F513" s="5"/>
      <c r="G513" s="5"/>
      <c r="H513" s="112"/>
      <c r="L513" s="4"/>
      <c r="M513" s="5"/>
      <c r="N513" s="112"/>
      <c r="R513" s="333"/>
      <c r="S513" s="5"/>
      <c r="T513" s="112"/>
      <c r="X513" s="333"/>
      <c r="Y513" s="5"/>
      <c r="AD513" s="333"/>
      <c r="AE513" s="5"/>
      <c r="AJ513" s="333"/>
      <c r="AK513" s="5"/>
      <c r="AP513" s="333"/>
      <c r="AQ513" s="5"/>
    </row>
    <row r="514" ht="15.75" customHeight="1">
      <c r="C514" s="4"/>
      <c r="D514" s="333"/>
      <c r="E514" s="5"/>
      <c r="F514" s="5"/>
      <c r="G514" s="5"/>
      <c r="H514" s="112"/>
      <c r="L514" s="4"/>
      <c r="M514" s="5"/>
      <c r="N514" s="112"/>
      <c r="R514" s="333"/>
      <c r="S514" s="5"/>
      <c r="T514" s="112"/>
      <c r="X514" s="333"/>
      <c r="Y514" s="5"/>
      <c r="AD514" s="333"/>
      <c r="AE514" s="5"/>
      <c r="AJ514" s="333"/>
      <c r="AK514" s="5"/>
      <c r="AP514" s="333"/>
      <c r="AQ514" s="5"/>
    </row>
    <row r="515" ht="15.75" customHeight="1">
      <c r="C515" s="4"/>
      <c r="D515" s="333"/>
      <c r="E515" s="5"/>
      <c r="F515" s="5"/>
      <c r="G515" s="5"/>
      <c r="H515" s="112"/>
      <c r="L515" s="4"/>
      <c r="M515" s="5"/>
      <c r="N515" s="112"/>
      <c r="R515" s="333"/>
      <c r="S515" s="5"/>
      <c r="T515" s="112"/>
      <c r="X515" s="333"/>
      <c r="Y515" s="5"/>
      <c r="AD515" s="333"/>
      <c r="AE515" s="5"/>
      <c r="AJ515" s="333"/>
      <c r="AK515" s="5"/>
      <c r="AP515" s="333"/>
      <c r="AQ515" s="5"/>
    </row>
    <row r="516" ht="15.75" customHeight="1">
      <c r="C516" s="4"/>
      <c r="D516" s="333"/>
      <c r="E516" s="5"/>
      <c r="F516" s="5"/>
      <c r="G516" s="5"/>
      <c r="H516" s="112"/>
      <c r="L516" s="4"/>
      <c r="M516" s="5"/>
      <c r="N516" s="112"/>
      <c r="R516" s="333"/>
      <c r="S516" s="5"/>
      <c r="T516" s="112"/>
      <c r="X516" s="333"/>
      <c r="Y516" s="5"/>
      <c r="AD516" s="333"/>
      <c r="AE516" s="5"/>
      <c r="AJ516" s="333"/>
      <c r="AK516" s="5"/>
      <c r="AP516" s="333"/>
      <c r="AQ516" s="5"/>
    </row>
    <row r="517" ht="15.75" customHeight="1">
      <c r="C517" s="4"/>
      <c r="D517" s="333"/>
      <c r="E517" s="5"/>
      <c r="F517" s="5"/>
      <c r="G517" s="5"/>
      <c r="H517" s="112"/>
      <c r="L517" s="4"/>
      <c r="M517" s="5"/>
      <c r="N517" s="112"/>
      <c r="R517" s="333"/>
      <c r="S517" s="5"/>
      <c r="T517" s="112"/>
      <c r="X517" s="333"/>
      <c r="Y517" s="5"/>
      <c r="AD517" s="333"/>
      <c r="AE517" s="5"/>
      <c r="AJ517" s="333"/>
      <c r="AK517" s="5"/>
      <c r="AP517" s="333"/>
      <c r="AQ517" s="5"/>
    </row>
    <row r="518" ht="15.75" customHeight="1">
      <c r="C518" s="4"/>
      <c r="D518" s="333"/>
      <c r="E518" s="5"/>
      <c r="F518" s="5"/>
      <c r="G518" s="5"/>
      <c r="H518" s="112"/>
      <c r="L518" s="4"/>
      <c r="M518" s="5"/>
      <c r="N518" s="112"/>
      <c r="R518" s="333"/>
      <c r="S518" s="5"/>
      <c r="T518" s="112"/>
      <c r="X518" s="333"/>
      <c r="Y518" s="5"/>
      <c r="AD518" s="333"/>
      <c r="AE518" s="5"/>
      <c r="AJ518" s="333"/>
      <c r="AK518" s="5"/>
      <c r="AP518" s="333"/>
      <c r="AQ518" s="5"/>
    </row>
    <row r="519" ht="15.75" customHeight="1">
      <c r="C519" s="4"/>
      <c r="D519" s="333"/>
      <c r="E519" s="5"/>
      <c r="F519" s="5"/>
      <c r="G519" s="5"/>
      <c r="H519" s="112"/>
      <c r="L519" s="4"/>
      <c r="M519" s="5"/>
      <c r="N519" s="112"/>
      <c r="R519" s="333"/>
      <c r="S519" s="5"/>
      <c r="T519" s="112"/>
      <c r="X519" s="333"/>
      <c r="Y519" s="5"/>
      <c r="AD519" s="333"/>
      <c r="AE519" s="5"/>
      <c r="AJ519" s="333"/>
      <c r="AK519" s="5"/>
      <c r="AP519" s="333"/>
      <c r="AQ519" s="5"/>
    </row>
    <row r="520" ht="15.75" customHeight="1">
      <c r="C520" s="4"/>
      <c r="D520" s="333"/>
      <c r="E520" s="5"/>
      <c r="F520" s="5"/>
      <c r="G520" s="5"/>
      <c r="H520" s="112"/>
      <c r="L520" s="4"/>
      <c r="M520" s="5"/>
      <c r="N520" s="112"/>
      <c r="R520" s="333"/>
      <c r="S520" s="5"/>
      <c r="T520" s="112"/>
      <c r="X520" s="333"/>
      <c r="Y520" s="5"/>
      <c r="AD520" s="333"/>
      <c r="AE520" s="5"/>
      <c r="AJ520" s="333"/>
      <c r="AK520" s="5"/>
      <c r="AP520" s="333"/>
      <c r="AQ520" s="5"/>
    </row>
    <row r="521" ht="15.75" customHeight="1">
      <c r="C521" s="4"/>
      <c r="D521" s="333"/>
      <c r="E521" s="5"/>
      <c r="F521" s="5"/>
      <c r="G521" s="5"/>
      <c r="H521" s="112"/>
      <c r="L521" s="4"/>
      <c r="M521" s="5"/>
      <c r="N521" s="112"/>
      <c r="R521" s="333"/>
      <c r="S521" s="5"/>
      <c r="T521" s="112"/>
      <c r="X521" s="333"/>
      <c r="Y521" s="5"/>
      <c r="AD521" s="333"/>
      <c r="AE521" s="5"/>
      <c r="AJ521" s="333"/>
      <c r="AK521" s="5"/>
      <c r="AP521" s="333"/>
      <c r="AQ521" s="5"/>
    </row>
    <row r="522" ht="15.75" customHeight="1">
      <c r="C522" s="4"/>
      <c r="D522" s="333"/>
      <c r="E522" s="5"/>
      <c r="F522" s="5"/>
      <c r="G522" s="5"/>
      <c r="H522" s="112"/>
      <c r="L522" s="4"/>
      <c r="M522" s="5"/>
      <c r="N522" s="112"/>
      <c r="R522" s="333"/>
      <c r="S522" s="5"/>
      <c r="T522" s="112"/>
      <c r="X522" s="333"/>
      <c r="Y522" s="5"/>
      <c r="AD522" s="333"/>
      <c r="AE522" s="5"/>
      <c r="AJ522" s="333"/>
      <c r="AK522" s="5"/>
      <c r="AP522" s="333"/>
      <c r="AQ522" s="5"/>
    </row>
    <row r="523" ht="15.75" customHeight="1">
      <c r="C523" s="4"/>
      <c r="D523" s="333"/>
      <c r="E523" s="5"/>
      <c r="F523" s="5"/>
      <c r="G523" s="5"/>
      <c r="H523" s="112"/>
      <c r="L523" s="4"/>
      <c r="M523" s="5"/>
      <c r="N523" s="112"/>
      <c r="R523" s="333"/>
      <c r="S523" s="5"/>
      <c r="T523" s="112"/>
      <c r="X523" s="333"/>
      <c r="Y523" s="5"/>
      <c r="AD523" s="333"/>
      <c r="AE523" s="5"/>
      <c r="AJ523" s="333"/>
      <c r="AK523" s="5"/>
      <c r="AP523" s="333"/>
      <c r="AQ523" s="5"/>
    </row>
    <row r="524" ht="15.75" customHeight="1">
      <c r="C524" s="4"/>
      <c r="D524" s="333"/>
      <c r="E524" s="5"/>
      <c r="F524" s="5"/>
      <c r="G524" s="5"/>
      <c r="H524" s="112"/>
      <c r="L524" s="4"/>
      <c r="M524" s="5"/>
      <c r="N524" s="112"/>
      <c r="R524" s="333"/>
      <c r="S524" s="5"/>
      <c r="T524" s="112"/>
      <c r="X524" s="333"/>
      <c r="Y524" s="5"/>
      <c r="AD524" s="333"/>
      <c r="AE524" s="5"/>
      <c r="AJ524" s="333"/>
      <c r="AK524" s="5"/>
      <c r="AP524" s="333"/>
      <c r="AQ524" s="5"/>
    </row>
    <row r="525" ht="15.75" customHeight="1">
      <c r="C525" s="4"/>
      <c r="D525" s="333"/>
      <c r="E525" s="5"/>
      <c r="F525" s="5"/>
      <c r="G525" s="5"/>
      <c r="H525" s="112"/>
      <c r="L525" s="4"/>
      <c r="M525" s="5"/>
      <c r="N525" s="112"/>
      <c r="R525" s="333"/>
      <c r="S525" s="5"/>
      <c r="T525" s="112"/>
      <c r="X525" s="333"/>
      <c r="Y525" s="5"/>
      <c r="AD525" s="333"/>
      <c r="AE525" s="5"/>
      <c r="AJ525" s="333"/>
      <c r="AK525" s="5"/>
      <c r="AP525" s="333"/>
      <c r="AQ525" s="5"/>
    </row>
    <row r="526" ht="15.75" customHeight="1">
      <c r="C526" s="4"/>
      <c r="D526" s="333"/>
      <c r="E526" s="5"/>
      <c r="F526" s="5"/>
      <c r="G526" s="5"/>
      <c r="H526" s="112"/>
      <c r="L526" s="4"/>
      <c r="M526" s="5"/>
      <c r="N526" s="112"/>
      <c r="R526" s="333"/>
      <c r="S526" s="5"/>
      <c r="T526" s="112"/>
      <c r="X526" s="333"/>
      <c r="Y526" s="5"/>
      <c r="AD526" s="333"/>
      <c r="AE526" s="5"/>
      <c r="AJ526" s="333"/>
      <c r="AK526" s="5"/>
      <c r="AP526" s="333"/>
      <c r="AQ526" s="5"/>
    </row>
    <row r="527" ht="15.75" customHeight="1">
      <c r="C527" s="4"/>
      <c r="D527" s="333"/>
      <c r="E527" s="5"/>
      <c r="F527" s="5"/>
      <c r="G527" s="5"/>
      <c r="H527" s="112"/>
      <c r="L527" s="4"/>
      <c r="M527" s="5"/>
      <c r="N527" s="112"/>
      <c r="R527" s="333"/>
      <c r="S527" s="5"/>
      <c r="T527" s="112"/>
      <c r="X527" s="333"/>
      <c r="Y527" s="5"/>
      <c r="AD527" s="333"/>
      <c r="AE527" s="5"/>
      <c r="AJ527" s="333"/>
      <c r="AK527" s="5"/>
      <c r="AP527" s="333"/>
      <c r="AQ527" s="5"/>
    </row>
    <row r="528" ht="15.75" customHeight="1">
      <c r="C528" s="4"/>
      <c r="D528" s="333"/>
      <c r="E528" s="5"/>
      <c r="F528" s="5"/>
      <c r="G528" s="5"/>
      <c r="H528" s="112"/>
      <c r="L528" s="4"/>
      <c r="M528" s="5"/>
      <c r="N528" s="112"/>
      <c r="R528" s="333"/>
      <c r="S528" s="5"/>
      <c r="T528" s="112"/>
      <c r="X528" s="333"/>
      <c r="Y528" s="5"/>
      <c r="AD528" s="333"/>
      <c r="AE528" s="5"/>
      <c r="AJ528" s="333"/>
      <c r="AK528" s="5"/>
      <c r="AP528" s="333"/>
      <c r="AQ528" s="5"/>
    </row>
    <row r="529" ht="15.75" customHeight="1">
      <c r="C529" s="4"/>
      <c r="D529" s="333"/>
      <c r="E529" s="5"/>
      <c r="F529" s="5"/>
      <c r="G529" s="5"/>
      <c r="H529" s="112"/>
      <c r="L529" s="4"/>
      <c r="M529" s="5"/>
      <c r="N529" s="112"/>
      <c r="R529" s="333"/>
      <c r="S529" s="5"/>
      <c r="T529" s="112"/>
      <c r="X529" s="333"/>
      <c r="Y529" s="5"/>
      <c r="AD529" s="333"/>
      <c r="AE529" s="5"/>
      <c r="AJ529" s="333"/>
      <c r="AK529" s="5"/>
      <c r="AP529" s="333"/>
      <c r="AQ529" s="5"/>
    </row>
    <row r="530" ht="15.75" customHeight="1">
      <c r="C530" s="4"/>
      <c r="D530" s="333"/>
      <c r="E530" s="5"/>
      <c r="F530" s="5"/>
      <c r="G530" s="5"/>
      <c r="H530" s="112"/>
      <c r="L530" s="4"/>
      <c r="M530" s="5"/>
      <c r="N530" s="112"/>
      <c r="R530" s="333"/>
      <c r="S530" s="5"/>
      <c r="T530" s="112"/>
      <c r="X530" s="333"/>
      <c r="Y530" s="5"/>
      <c r="AD530" s="333"/>
      <c r="AE530" s="5"/>
      <c r="AJ530" s="333"/>
      <c r="AK530" s="5"/>
      <c r="AP530" s="333"/>
      <c r="AQ530" s="5"/>
    </row>
    <row r="531" ht="15.75" customHeight="1">
      <c r="C531" s="4"/>
      <c r="D531" s="333"/>
      <c r="E531" s="5"/>
      <c r="F531" s="5"/>
      <c r="G531" s="5"/>
      <c r="H531" s="112"/>
      <c r="L531" s="4"/>
      <c r="M531" s="5"/>
      <c r="N531" s="112"/>
      <c r="R531" s="333"/>
      <c r="S531" s="5"/>
      <c r="T531" s="112"/>
      <c r="X531" s="333"/>
      <c r="Y531" s="5"/>
      <c r="AD531" s="333"/>
      <c r="AE531" s="5"/>
      <c r="AJ531" s="333"/>
      <c r="AK531" s="5"/>
      <c r="AP531" s="333"/>
      <c r="AQ531" s="5"/>
    </row>
    <row r="532" ht="15.75" customHeight="1">
      <c r="C532" s="4"/>
      <c r="D532" s="333"/>
      <c r="E532" s="5"/>
      <c r="F532" s="5"/>
      <c r="G532" s="5"/>
      <c r="H532" s="112"/>
      <c r="L532" s="4"/>
      <c r="M532" s="5"/>
      <c r="N532" s="112"/>
      <c r="R532" s="333"/>
      <c r="S532" s="5"/>
      <c r="T532" s="112"/>
      <c r="X532" s="333"/>
      <c r="Y532" s="5"/>
      <c r="AD532" s="333"/>
      <c r="AE532" s="5"/>
      <c r="AJ532" s="333"/>
      <c r="AK532" s="5"/>
      <c r="AP532" s="333"/>
      <c r="AQ532" s="5"/>
    </row>
    <row r="533" ht="15.75" customHeight="1">
      <c r="C533" s="4"/>
      <c r="D533" s="333"/>
      <c r="E533" s="5"/>
      <c r="F533" s="5"/>
      <c r="G533" s="5"/>
      <c r="H533" s="112"/>
      <c r="L533" s="4"/>
      <c r="M533" s="5"/>
      <c r="N533" s="112"/>
      <c r="R533" s="333"/>
      <c r="S533" s="5"/>
      <c r="T533" s="112"/>
      <c r="X533" s="333"/>
      <c r="Y533" s="5"/>
      <c r="AD533" s="333"/>
      <c r="AE533" s="5"/>
      <c r="AJ533" s="333"/>
      <c r="AK533" s="5"/>
      <c r="AP533" s="333"/>
      <c r="AQ533" s="5"/>
    </row>
    <row r="534" ht="15.75" customHeight="1">
      <c r="C534" s="4"/>
      <c r="D534" s="333"/>
      <c r="E534" s="5"/>
      <c r="F534" s="5"/>
      <c r="G534" s="5"/>
      <c r="H534" s="112"/>
      <c r="L534" s="4"/>
      <c r="M534" s="5"/>
      <c r="N534" s="112"/>
      <c r="R534" s="333"/>
      <c r="S534" s="5"/>
      <c r="T534" s="112"/>
      <c r="X534" s="333"/>
      <c r="Y534" s="5"/>
      <c r="AD534" s="333"/>
      <c r="AE534" s="5"/>
      <c r="AJ534" s="333"/>
      <c r="AK534" s="5"/>
      <c r="AP534" s="333"/>
      <c r="AQ534" s="5"/>
    </row>
    <row r="535" ht="15.75" customHeight="1">
      <c r="C535" s="4"/>
      <c r="D535" s="333"/>
      <c r="E535" s="5"/>
      <c r="F535" s="5"/>
      <c r="G535" s="5"/>
      <c r="H535" s="112"/>
      <c r="L535" s="4"/>
      <c r="M535" s="5"/>
      <c r="N535" s="112"/>
      <c r="R535" s="333"/>
      <c r="S535" s="5"/>
      <c r="T535" s="112"/>
      <c r="X535" s="333"/>
      <c r="Y535" s="5"/>
      <c r="AD535" s="333"/>
      <c r="AE535" s="5"/>
      <c r="AJ535" s="333"/>
      <c r="AK535" s="5"/>
      <c r="AP535" s="333"/>
      <c r="AQ535" s="5"/>
    </row>
    <row r="536" ht="15.75" customHeight="1">
      <c r="C536" s="4"/>
      <c r="D536" s="333"/>
      <c r="E536" s="5"/>
      <c r="F536" s="5"/>
      <c r="G536" s="5"/>
      <c r="H536" s="112"/>
      <c r="L536" s="4"/>
      <c r="M536" s="5"/>
      <c r="N536" s="112"/>
      <c r="R536" s="333"/>
      <c r="S536" s="5"/>
      <c r="T536" s="112"/>
      <c r="X536" s="333"/>
      <c r="Y536" s="5"/>
      <c r="AD536" s="333"/>
      <c r="AE536" s="5"/>
      <c r="AJ536" s="333"/>
      <c r="AK536" s="5"/>
      <c r="AP536" s="333"/>
      <c r="AQ536" s="5"/>
    </row>
    <row r="537" ht="15.75" customHeight="1">
      <c r="C537" s="4"/>
      <c r="D537" s="333"/>
      <c r="E537" s="5"/>
      <c r="F537" s="5"/>
      <c r="G537" s="5"/>
      <c r="H537" s="112"/>
      <c r="L537" s="4"/>
      <c r="M537" s="5"/>
      <c r="N537" s="112"/>
      <c r="R537" s="333"/>
      <c r="S537" s="5"/>
      <c r="T537" s="112"/>
      <c r="X537" s="333"/>
      <c r="Y537" s="5"/>
      <c r="AD537" s="333"/>
      <c r="AE537" s="5"/>
      <c r="AJ537" s="333"/>
      <c r="AK537" s="5"/>
      <c r="AP537" s="333"/>
      <c r="AQ537" s="5"/>
    </row>
    <row r="538" ht="15.75" customHeight="1">
      <c r="C538" s="4"/>
      <c r="D538" s="333"/>
      <c r="E538" s="5"/>
      <c r="F538" s="5"/>
      <c r="G538" s="5"/>
      <c r="H538" s="112"/>
      <c r="L538" s="4"/>
      <c r="M538" s="5"/>
      <c r="N538" s="112"/>
      <c r="R538" s="333"/>
      <c r="S538" s="5"/>
      <c r="T538" s="112"/>
      <c r="X538" s="333"/>
      <c r="Y538" s="5"/>
      <c r="AD538" s="333"/>
      <c r="AE538" s="5"/>
      <c r="AJ538" s="333"/>
      <c r="AK538" s="5"/>
      <c r="AP538" s="333"/>
      <c r="AQ538" s="5"/>
    </row>
    <row r="539" ht="15.75" customHeight="1">
      <c r="C539" s="4"/>
      <c r="D539" s="333"/>
      <c r="E539" s="5"/>
      <c r="F539" s="5"/>
      <c r="G539" s="5"/>
      <c r="H539" s="112"/>
      <c r="L539" s="4"/>
      <c r="M539" s="5"/>
      <c r="N539" s="112"/>
      <c r="R539" s="333"/>
      <c r="S539" s="5"/>
      <c r="T539" s="112"/>
      <c r="X539" s="333"/>
      <c r="Y539" s="5"/>
      <c r="AD539" s="333"/>
      <c r="AE539" s="5"/>
      <c r="AJ539" s="333"/>
      <c r="AK539" s="5"/>
      <c r="AP539" s="333"/>
      <c r="AQ539" s="5"/>
    </row>
    <row r="540" ht="15.75" customHeight="1">
      <c r="C540" s="4"/>
      <c r="D540" s="333"/>
      <c r="E540" s="5"/>
      <c r="F540" s="5"/>
      <c r="G540" s="5"/>
      <c r="H540" s="112"/>
      <c r="L540" s="4"/>
      <c r="M540" s="5"/>
      <c r="N540" s="112"/>
      <c r="R540" s="333"/>
      <c r="S540" s="5"/>
      <c r="T540" s="112"/>
      <c r="X540" s="333"/>
      <c r="Y540" s="5"/>
      <c r="AD540" s="333"/>
      <c r="AE540" s="5"/>
      <c r="AJ540" s="333"/>
      <c r="AK540" s="5"/>
      <c r="AP540" s="333"/>
      <c r="AQ540" s="5"/>
    </row>
    <row r="541" ht="15.75" customHeight="1">
      <c r="C541" s="4"/>
      <c r="D541" s="333"/>
      <c r="E541" s="5"/>
      <c r="F541" s="5"/>
      <c r="G541" s="5"/>
      <c r="H541" s="112"/>
      <c r="L541" s="4"/>
      <c r="M541" s="5"/>
      <c r="N541" s="112"/>
      <c r="R541" s="333"/>
      <c r="S541" s="5"/>
      <c r="T541" s="112"/>
      <c r="X541" s="333"/>
      <c r="Y541" s="5"/>
      <c r="AD541" s="333"/>
      <c r="AE541" s="5"/>
      <c r="AJ541" s="333"/>
      <c r="AK541" s="5"/>
      <c r="AP541" s="333"/>
      <c r="AQ541" s="5"/>
    </row>
    <row r="542" ht="15.75" customHeight="1">
      <c r="C542" s="4"/>
      <c r="D542" s="333"/>
      <c r="E542" s="5"/>
      <c r="F542" s="5"/>
      <c r="G542" s="5"/>
      <c r="H542" s="112"/>
      <c r="L542" s="4"/>
      <c r="M542" s="5"/>
      <c r="N542" s="112"/>
      <c r="R542" s="333"/>
      <c r="S542" s="5"/>
      <c r="T542" s="112"/>
      <c r="X542" s="333"/>
      <c r="Y542" s="5"/>
      <c r="AD542" s="333"/>
      <c r="AE542" s="5"/>
      <c r="AJ542" s="333"/>
      <c r="AK542" s="5"/>
      <c r="AP542" s="333"/>
      <c r="AQ542" s="5"/>
    </row>
    <row r="543" ht="15.75" customHeight="1">
      <c r="C543" s="4"/>
      <c r="D543" s="333"/>
      <c r="E543" s="5"/>
      <c r="F543" s="5"/>
      <c r="G543" s="5"/>
      <c r="H543" s="112"/>
      <c r="L543" s="4"/>
      <c r="M543" s="5"/>
      <c r="N543" s="112"/>
      <c r="R543" s="333"/>
      <c r="S543" s="5"/>
      <c r="T543" s="112"/>
      <c r="X543" s="333"/>
      <c r="Y543" s="5"/>
      <c r="AD543" s="333"/>
      <c r="AE543" s="5"/>
      <c r="AJ543" s="333"/>
      <c r="AK543" s="5"/>
      <c r="AP543" s="333"/>
      <c r="AQ543" s="5"/>
    </row>
    <row r="544" ht="15.75" customHeight="1">
      <c r="C544" s="4"/>
      <c r="D544" s="333"/>
      <c r="E544" s="5"/>
      <c r="F544" s="5"/>
      <c r="G544" s="5"/>
      <c r="H544" s="112"/>
      <c r="L544" s="4"/>
      <c r="M544" s="5"/>
      <c r="N544" s="112"/>
      <c r="R544" s="333"/>
      <c r="S544" s="5"/>
      <c r="T544" s="112"/>
      <c r="X544" s="333"/>
      <c r="Y544" s="5"/>
      <c r="AD544" s="333"/>
      <c r="AE544" s="5"/>
      <c r="AJ544" s="333"/>
      <c r="AK544" s="5"/>
      <c r="AP544" s="333"/>
      <c r="AQ544" s="5"/>
    </row>
    <row r="545" ht="15.75" customHeight="1">
      <c r="C545" s="4"/>
      <c r="D545" s="333"/>
      <c r="E545" s="5"/>
      <c r="F545" s="5"/>
      <c r="G545" s="5"/>
      <c r="H545" s="112"/>
      <c r="L545" s="4"/>
      <c r="M545" s="5"/>
      <c r="N545" s="112"/>
      <c r="R545" s="333"/>
      <c r="S545" s="5"/>
      <c r="T545" s="112"/>
      <c r="X545" s="333"/>
      <c r="Y545" s="5"/>
      <c r="AD545" s="333"/>
      <c r="AE545" s="5"/>
      <c r="AJ545" s="333"/>
      <c r="AK545" s="5"/>
      <c r="AP545" s="333"/>
      <c r="AQ545" s="5"/>
    </row>
    <row r="546" ht="15.75" customHeight="1">
      <c r="C546" s="4"/>
      <c r="D546" s="333"/>
      <c r="E546" s="5"/>
      <c r="F546" s="5"/>
      <c r="G546" s="5"/>
      <c r="H546" s="112"/>
      <c r="L546" s="4"/>
      <c r="M546" s="5"/>
      <c r="N546" s="112"/>
      <c r="R546" s="333"/>
      <c r="S546" s="5"/>
      <c r="T546" s="112"/>
      <c r="X546" s="333"/>
      <c r="Y546" s="5"/>
      <c r="AD546" s="333"/>
      <c r="AE546" s="5"/>
      <c r="AJ546" s="333"/>
      <c r="AK546" s="5"/>
      <c r="AP546" s="333"/>
      <c r="AQ546" s="5"/>
    </row>
    <row r="547" ht="15.75" customHeight="1">
      <c r="C547" s="4"/>
      <c r="D547" s="333"/>
      <c r="E547" s="5"/>
      <c r="F547" s="5"/>
      <c r="G547" s="5"/>
      <c r="H547" s="112"/>
      <c r="L547" s="4"/>
      <c r="M547" s="5"/>
      <c r="N547" s="112"/>
      <c r="R547" s="333"/>
      <c r="S547" s="5"/>
      <c r="T547" s="112"/>
      <c r="X547" s="333"/>
      <c r="Y547" s="5"/>
      <c r="AD547" s="333"/>
      <c r="AE547" s="5"/>
      <c r="AJ547" s="333"/>
      <c r="AK547" s="5"/>
      <c r="AP547" s="333"/>
      <c r="AQ547" s="5"/>
    </row>
    <row r="548" ht="15.75" customHeight="1">
      <c r="C548" s="4"/>
      <c r="D548" s="333"/>
      <c r="E548" s="5"/>
      <c r="F548" s="5"/>
      <c r="G548" s="5"/>
      <c r="H548" s="112"/>
      <c r="L548" s="4"/>
      <c r="M548" s="5"/>
      <c r="N548" s="112"/>
      <c r="R548" s="333"/>
      <c r="S548" s="5"/>
      <c r="T548" s="112"/>
      <c r="X548" s="333"/>
      <c r="Y548" s="5"/>
      <c r="AD548" s="333"/>
      <c r="AE548" s="5"/>
      <c r="AJ548" s="333"/>
      <c r="AK548" s="5"/>
      <c r="AP548" s="333"/>
      <c r="AQ548" s="5"/>
    </row>
    <row r="549" ht="15.75" customHeight="1">
      <c r="C549" s="4"/>
      <c r="D549" s="333"/>
      <c r="E549" s="5"/>
      <c r="F549" s="5"/>
      <c r="G549" s="5"/>
      <c r="H549" s="112"/>
      <c r="L549" s="4"/>
      <c r="M549" s="5"/>
      <c r="N549" s="112"/>
      <c r="R549" s="333"/>
      <c r="S549" s="5"/>
      <c r="T549" s="112"/>
      <c r="X549" s="333"/>
      <c r="Y549" s="5"/>
      <c r="AD549" s="333"/>
      <c r="AE549" s="5"/>
      <c r="AJ549" s="333"/>
      <c r="AK549" s="5"/>
      <c r="AP549" s="333"/>
      <c r="AQ549" s="5"/>
    </row>
    <row r="550" ht="15.75" customHeight="1">
      <c r="C550" s="4"/>
      <c r="D550" s="333"/>
      <c r="E550" s="5"/>
      <c r="F550" s="5"/>
      <c r="G550" s="5"/>
      <c r="H550" s="112"/>
      <c r="L550" s="4"/>
      <c r="M550" s="5"/>
      <c r="N550" s="112"/>
      <c r="R550" s="333"/>
      <c r="S550" s="5"/>
      <c r="T550" s="112"/>
      <c r="X550" s="333"/>
      <c r="Y550" s="5"/>
      <c r="AD550" s="333"/>
      <c r="AE550" s="5"/>
      <c r="AJ550" s="333"/>
      <c r="AK550" s="5"/>
      <c r="AP550" s="333"/>
      <c r="AQ550" s="5"/>
    </row>
    <row r="551" ht="15.75" customHeight="1">
      <c r="C551" s="4"/>
      <c r="D551" s="333"/>
      <c r="E551" s="5"/>
      <c r="F551" s="5"/>
      <c r="G551" s="5"/>
      <c r="H551" s="112"/>
      <c r="L551" s="4"/>
      <c r="M551" s="5"/>
      <c r="N551" s="112"/>
      <c r="R551" s="333"/>
      <c r="S551" s="5"/>
      <c r="T551" s="112"/>
      <c r="X551" s="333"/>
      <c r="Y551" s="5"/>
      <c r="AD551" s="333"/>
      <c r="AE551" s="5"/>
      <c r="AJ551" s="333"/>
      <c r="AK551" s="5"/>
      <c r="AP551" s="333"/>
      <c r="AQ551" s="5"/>
    </row>
    <row r="552" ht="15.75" customHeight="1">
      <c r="C552" s="4"/>
      <c r="D552" s="333"/>
      <c r="E552" s="5"/>
      <c r="F552" s="5"/>
      <c r="G552" s="5"/>
      <c r="H552" s="112"/>
      <c r="L552" s="4"/>
      <c r="M552" s="5"/>
      <c r="N552" s="112"/>
      <c r="R552" s="333"/>
      <c r="S552" s="5"/>
      <c r="T552" s="112"/>
      <c r="X552" s="333"/>
      <c r="Y552" s="5"/>
      <c r="AD552" s="333"/>
      <c r="AE552" s="5"/>
      <c r="AJ552" s="333"/>
      <c r="AK552" s="5"/>
      <c r="AP552" s="333"/>
      <c r="AQ552" s="5"/>
    </row>
    <row r="553" ht="15.75" customHeight="1">
      <c r="C553" s="4"/>
      <c r="D553" s="333"/>
      <c r="E553" s="5"/>
      <c r="F553" s="5"/>
      <c r="G553" s="5"/>
      <c r="H553" s="112"/>
      <c r="L553" s="4"/>
      <c r="M553" s="5"/>
      <c r="N553" s="112"/>
      <c r="R553" s="333"/>
      <c r="S553" s="5"/>
      <c r="T553" s="112"/>
      <c r="X553" s="333"/>
      <c r="Y553" s="5"/>
      <c r="AD553" s="333"/>
      <c r="AE553" s="5"/>
      <c r="AJ553" s="333"/>
      <c r="AK553" s="5"/>
      <c r="AP553" s="333"/>
      <c r="AQ553" s="5"/>
    </row>
    <row r="554" ht="15.75" customHeight="1">
      <c r="C554" s="4"/>
      <c r="D554" s="333"/>
      <c r="E554" s="5"/>
      <c r="F554" s="5"/>
      <c r="G554" s="5"/>
      <c r="H554" s="112"/>
      <c r="L554" s="4"/>
      <c r="M554" s="5"/>
      <c r="N554" s="112"/>
      <c r="R554" s="333"/>
      <c r="S554" s="5"/>
      <c r="T554" s="112"/>
      <c r="X554" s="333"/>
      <c r="Y554" s="5"/>
      <c r="AD554" s="333"/>
      <c r="AE554" s="5"/>
      <c r="AJ554" s="333"/>
      <c r="AK554" s="5"/>
      <c r="AP554" s="333"/>
      <c r="AQ554" s="5"/>
    </row>
    <row r="555" ht="15.75" customHeight="1">
      <c r="C555" s="4"/>
      <c r="D555" s="333"/>
      <c r="E555" s="5"/>
      <c r="F555" s="5"/>
      <c r="G555" s="5"/>
      <c r="H555" s="112"/>
      <c r="L555" s="4"/>
      <c r="M555" s="5"/>
      <c r="N555" s="112"/>
      <c r="R555" s="333"/>
      <c r="S555" s="5"/>
      <c r="T555" s="112"/>
      <c r="X555" s="333"/>
      <c r="Y555" s="5"/>
      <c r="AD555" s="333"/>
      <c r="AE555" s="5"/>
      <c r="AJ555" s="333"/>
      <c r="AK555" s="5"/>
      <c r="AP555" s="333"/>
      <c r="AQ555" s="5"/>
    </row>
    <row r="556" ht="15.75" customHeight="1">
      <c r="C556" s="4"/>
      <c r="D556" s="333"/>
      <c r="E556" s="5"/>
      <c r="F556" s="5"/>
      <c r="G556" s="5"/>
      <c r="H556" s="112"/>
      <c r="L556" s="4"/>
      <c r="M556" s="5"/>
      <c r="N556" s="112"/>
      <c r="R556" s="333"/>
      <c r="S556" s="5"/>
      <c r="T556" s="112"/>
      <c r="X556" s="333"/>
      <c r="Y556" s="5"/>
      <c r="AD556" s="333"/>
      <c r="AE556" s="5"/>
      <c r="AJ556" s="333"/>
      <c r="AK556" s="5"/>
      <c r="AP556" s="333"/>
      <c r="AQ556" s="5"/>
    </row>
    <row r="557" ht="15.75" customHeight="1">
      <c r="C557" s="4"/>
      <c r="D557" s="333"/>
      <c r="E557" s="5"/>
      <c r="F557" s="5"/>
      <c r="G557" s="5"/>
      <c r="H557" s="112"/>
      <c r="L557" s="4"/>
      <c r="M557" s="5"/>
      <c r="N557" s="112"/>
      <c r="R557" s="333"/>
      <c r="S557" s="5"/>
      <c r="T557" s="112"/>
      <c r="X557" s="333"/>
      <c r="Y557" s="5"/>
      <c r="AD557" s="333"/>
      <c r="AE557" s="5"/>
      <c r="AJ557" s="333"/>
      <c r="AK557" s="5"/>
      <c r="AP557" s="333"/>
      <c r="AQ557" s="5"/>
    </row>
    <row r="558" ht="15.75" customHeight="1">
      <c r="C558" s="4"/>
      <c r="D558" s="333"/>
      <c r="E558" s="5"/>
      <c r="F558" s="5"/>
      <c r="G558" s="5"/>
      <c r="H558" s="112"/>
      <c r="L558" s="4"/>
      <c r="M558" s="5"/>
      <c r="N558" s="112"/>
      <c r="R558" s="333"/>
      <c r="S558" s="5"/>
      <c r="T558" s="112"/>
      <c r="X558" s="333"/>
      <c r="Y558" s="5"/>
      <c r="AD558" s="333"/>
      <c r="AE558" s="5"/>
      <c r="AJ558" s="333"/>
      <c r="AK558" s="5"/>
      <c r="AP558" s="333"/>
      <c r="AQ558" s="5"/>
    </row>
    <row r="559" ht="15.75" customHeight="1">
      <c r="C559" s="4"/>
      <c r="D559" s="333"/>
      <c r="E559" s="5"/>
      <c r="F559" s="5"/>
      <c r="G559" s="5"/>
      <c r="H559" s="112"/>
      <c r="L559" s="4"/>
      <c r="M559" s="5"/>
      <c r="N559" s="112"/>
      <c r="R559" s="333"/>
      <c r="S559" s="5"/>
      <c r="T559" s="112"/>
      <c r="X559" s="333"/>
      <c r="Y559" s="5"/>
      <c r="AD559" s="333"/>
      <c r="AE559" s="5"/>
      <c r="AJ559" s="333"/>
      <c r="AK559" s="5"/>
      <c r="AP559" s="333"/>
      <c r="AQ559" s="5"/>
    </row>
    <row r="560" ht="15.75" customHeight="1">
      <c r="C560" s="4"/>
      <c r="D560" s="333"/>
      <c r="E560" s="5"/>
      <c r="F560" s="5"/>
      <c r="G560" s="5"/>
      <c r="H560" s="112"/>
      <c r="L560" s="4"/>
      <c r="M560" s="5"/>
      <c r="N560" s="112"/>
      <c r="R560" s="333"/>
      <c r="S560" s="5"/>
      <c r="T560" s="112"/>
      <c r="X560" s="333"/>
      <c r="Y560" s="5"/>
      <c r="AD560" s="333"/>
      <c r="AE560" s="5"/>
      <c r="AJ560" s="333"/>
      <c r="AK560" s="5"/>
      <c r="AP560" s="333"/>
      <c r="AQ560" s="5"/>
    </row>
    <row r="561" ht="15.75" customHeight="1">
      <c r="C561" s="4"/>
      <c r="D561" s="333"/>
      <c r="E561" s="5"/>
      <c r="F561" s="5"/>
      <c r="G561" s="5"/>
      <c r="H561" s="112"/>
      <c r="L561" s="4"/>
      <c r="M561" s="5"/>
      <c r="N561" s="112"/>
      <c r="R561" s="333"/>
      <c r="S561" s="5"/>
      <c r="T561" s="112"/>
      <c r="X561" s="333"/>
      <c r="Y561" s="5"/>
      <c r="AD561" s="333"/>
      <c r="AE561" s="5"/>
      <c r="AJ561" s="333"/>
      <c r="AK561" s="5"/>
      <c r="AP561" s="333"/>
      <c r="AQ561" s="5"/>
    </row>
    <row r="562" ht="15.75" customHeight="1">
      <c r="C562" s="4"/>
      <c r="D562" s="333"/>
      <c r="E562" s="5"/>
      <c r="F562" s="5"/>
      <c r="G562" s="5"/>
      <c r="H562" s="112"/>
      <c r="L562" s="4"/>
      <c r="M562" s="5"/>
      <c r="N562" s="112"/>
      <c r="R562" s="333"/>
      <c r="S562" s="5"/>
      <c r="T562" s="112"/>
      <c r="X562" s="333"/>
      <c r="Y562" s="5"/>
      <c r="AD562" s="333"/>
      <c r="AE562" s="5"/>
      <c r="AJ562" s="333"/>
      <c r="AK562" s="5"/>
      <c r="AP562" s="333"/>
      <c r="AQ562" s="5"/>
    </row>
    <row r="563" ht="15.75" customHeight="1">
      <c r="C563" s="4"/>
      <c r="D563" s="333"/>
      <c r="E563" s="5"/>
      <c r="F563" s="5"/>
      <c r="G563" s="5"/>
      <c r="H563" s="112"/>
      <c r="L563" s="4"/>
      <c r="M563" s="5"/>
      <c r="N563" s="112"/>
      <c r="R563" s="333"/>
      <c r="S563" s="5"/>
      <c r="T563" s="112"/>
      <c r="X563" s="333"/>
      <c r="Y563" s="5"/>
      <c r="AD563" s="333"/>
      <c r="AE563" s="5"/>
      <c r="AJ563" s="333"/>
      <c r="AK563" s="5"/>
      <c r="AP563" s="333"/>
      <c r="AQ563" s="5"/>
    </row>
    <row r="564" ht="15.75" customHeight="1">
      <c r="C564" s="4"/>
      <c r="D564" s="333"/>
      <c r="E564" s="5"/>
      <c r="F564" s="5"/>
      <c r="G564" s="5"/>
      <c r="H564" s="112"/>
      <c r="L564" s="4"/>
      <c r="M564" s="5"/>
      <c r="N564" s="112"/>
      <c r="R564" s="333"/>
      <c r="S564" s="5"/>
      <c r="T564" s="112"/>
      <c r="X564" s="333"/>
      <c r="Y564" s="5"/>
      <c r="AD564" s="333"/>
      <c r="AE564" s="5"/>
      <c r="AJ564" s="333"/>
      <c r="AK564" s="5"/>
      <c r="AP564" s="333"/>
      <c r="AQ564" s="5"/>
    </row>
    <row r="565" ht="15.75" customHeight="1">
      <c r="C565" s="4"/>
      <c r="D565" s="333"/>
      <c r="E565" s="5"/>
      <c r="F565" s="5"/>
      <c r="G565" s="5"/>
      <c r="H565" s="112"/>
      <c r="L565" s="4"/>
      <c r="M565" s="5"/>
      <c r="N565" s="112"/>
      <c r="R565" s="333"/>
      <c r="S565" s="5"/>
      <c r="T565" s="112"/>
      <c r="X565" s="333"/>
      <c r="Y565" s="5"/>
      <c r="AD565" s="333"/>
      <c r="AE565" s="5"/>
      <c r="AJ565" s="333"/>
      <c r="AK565" s="5"/>
      <c r="AP565" s="333"/>
      <c r="AQ565" s="5"/>
    </row>
    <row r="566" ht="15.75" customHeight="1">
      <c r="C566" s="4"/>
      <c r="D566" s="333"/>
      <c r="E566" s="5"/>
      <c r="F566" s="5"/>
      <c r="G566" s="5"/>
      <c r="H566" s="112"/>
      <c r="L566" s="4"/>
      <c r="M566" s="5"/>
      <c r="N566" s="112"/>
      <c r="R566" s="333"/>
      <c r="S566" s="5"/>
      <c r="T566" s="112"/>
      <c r="X566" s="333"/>
      <c r="Y566" s="5"/>
      <c r="AD566" s="333"/>
      <c r="AE566" s="5"/>
      <c r="AJ566" s="333"/>
      <c r="AK566" s="5"/>
      <c r="AP566" s="333"/>
      <c r="AQ566" s="5"/>
    </row>
    <row r="567" ht="15.75" customHeight="1">
      <c r="C567" s="4"/>
      <c r="D567" s="333"/>
      <c r="E567" s="5"/>
      <c r="F567" s="5"/>
      <c r="G567" s="5"/>
      <c r="H567" s="112"/>
      <c r="L567" s="4"/>
      <c r="M567" s="5"/>
      <c r="N567" s="112"/>
      <c r="R567" s="333"/>
      <c r="S567" s="5"/>
      <c r="T567" s="112"/>
      <c r="X567" s="333"/>
      <c r="Y567" s="5"/>
      <c r="AD567" s="333"/>
      <c r="AE567" s="5"/>
      <c r="AJ567" s="333"/>
      <c r="AK567" s="5"/>
      <c r="AP567" s="333"/>
      <c r="AQ567" s="5"/>
    </row>
    <row r="568" ht="15.75" customHeight="1">
      <c r="C568" s="4"/>
      <c r="D568" s="333"/>
      <c r="E568" s="5"/>
      <c r="F568" s="5"/>
      <c r="G568" s="5"/>
      <c r="H568" s="112"/>
      <c r="L568" s="4"/>
      <c r="M568" s="5"/>
      <c r="N568" s="112"/>
      <c r="R568" s="333"/>
      <c r="S568" s="5"/>
      <c r="T568" s="112"/>
      <c r="X568" s="333"/>
      <c r="Y568" s="5"/>
      <c r="AD568" s="333"/>
      <c r="AE568" s="5"/>
      <c r="AJ568" s="333"/>
      <c r="AK568" s="5"/>
      <c r="AP568" s="333"/>
      <c r="AQ568" s="5"/>
    </row>
    <row r="569" ht="15.75" customHeight="1">
      <c r="C569" s="4"/>
      <c r="D569" s="333"/>
      <c r="E569" s="5"/>
      <c r="F569" s="5"/>
      <c r="G569" s="5"/>
      <c r="H569" s="112"/>
      <c r="L569" s="4"/>
      <c r="M569" s="5"/>
      <c r="N569" s="112"/>
      <c r="R569" s="333"/>
      <c r="S569" s="5"/>
      <c r="T569" s="112"/>
      <c r="X569" s="333"/>
      <c r="Y569" s="5"/>
      <c r="AD569" s="333"/>
      <c r="AE569" s="5"/>
      <c r="AJ569" s="333"/>
      <c r="AK569" s="5"/>
      <c r="AP569" s="333"/>
      <c r="AQ569" s="5"/>
    </row>
    <row r="570" ht="15.75" customHeight="1">
      <c r="C570" s="4"/>
      <c r="D570" s="333"/>
      <c r="E570" s="5"/>
      <c r="F570" s="5"/>
      <c r="G570" s="5"/>
      <c r="H570" s="112"/>
      <c r="L570" s="4"/>
      <c r="M570" s="5"/>
      <c r="N570" s="112"/>
      <c r="R570" s="333"/>
      <c r="S570" s="5"/>
      <c r="T570" s="112"/>
      <c r="X570" s="333"/>
      <c r="Y570" s="5"/>
      <c r="AD570" s="333"/>
      <c r="AE570" s="5"/>
      <c r="AJ570" s="333"/>
      <c r="AK570" s="5"/>
      <c r="AP570" s="333"/>
      <c r="AQ570" s="5"/>
    </row>
    <row r="571" ht="15.75" customHeight="1">
      <c r="C571" s="4"/>
      <c r="D571" s="333"/>
      <c r="E571" s="5"/>
      <c r="F571" s="5"/>
      <c r="G571" s="5"/>
      <c r="H571" s="112"/>
      <c r="L571" s="4"/>
      <c r="M571" s="5"/>
      <c r="N571" s="112"/>
      <c r="R571" s="333"/>
      <c r="S571" s="5"/>
      <c r="T571" s="112"/>
      <c r="X571" s="333"/>
      <c r="Y571" s="5"/>
      <c r="AD571" s="333"/>
      <c r="AE571" s="5"/>
      <c r="AJ571" s="333"/>
      <c r="AK571" s="5"/>
      <c r="AP571" s="333"/>
      <c r="AQ571" s="5"/>
    </row>
    <row r="572" ht="15.75" customHeight="1">
      <c r="C572" s="4"/>
      <c r="D572" s="333"/>
      <c r="E572" s="5"/>
      <c r="F572" s="5"/>
      <c r="G572" s="5"/>
      <c r="H572" s="112"/>
      <c r="L572" s="4"/>
      <c r="M572" s="5"/>
      <c r="N572" s="112"/>
      <c r="R572" s="333"/>
      <c r="S572" s="5"/>
      <c r="T572" s="112"/>
      <c r="X572" s="333"/>
      <c r="Y572" s="5"/>
      <c r="AD572" s="333"/>
      <c r="AE572" s="5"/>
      <c r="AJ572" s="333"/>
      <c r="AK572" s="5"/>
      <c r="AP572" s="333"/>
      <c r="AQ572" s="5"/>
    </row>
    <row r="573" ht="15.75" customHeight="1">
      <c r="C573" s="4"/>
      <c r="D573" s="333"/>
      <c r="E573" s="5"/>
      <c r="F573" s="5"/>
      <c r="G573" s="5"/>
      <c r="H573" s="112"/>
      <c r="L573" s="4"/>
      <c r="M573" s="5"/>
      <c r="N573" s="112"/>
      <c r="R573" s="333"/>
      <c r="S573" s="5"/>
      <c r="T573" s="112"/>
      <c r="X573" s="333"/>
      <c r="Y573" s="5"/>
      <c r="AD573" s="333"/>
      <c r="AE573" s="5"/>
      <c r="AJ573" s="333"/>
      <c r="AK573" s="5"/>
      <c r="AP573" s="333"/>
      <c r="AQ573" s="5"/>
    </row>
    <row r="574" ht="15.75" customHeight="1">
      <c r="C574" s="4"/>
      <c r="D574" s="333"/>
      <c r="E574" s="5"/>
      <c r="F574" s="5"/>
      <c r="G574" s="5"/>
      <c r="H574" s="112"/>
      <c r="L574" s="4"/>
      <c r="M574" s="5"/>
      <c r="N574" s="112"/>
      <c r="R574" s="333"/>
      <c r="S574" s="5"/>
      <c r="T574" s="112"/>
      <c r="X574" s="333"/>
      <c r="Y574" s="5"/>
      <c r="AD574" s="333"/>
      <c r="AE574" s="5"/>
      <c r="AJ574" s="333"/>
      <c r="AK574" s="5"/>
      <c r="AP574" s="333"/>
      <c r="AQ574" s="5"/>
    </row>
    <row r="575" ht="15.75" customHeight="1">
      <c r="C575" s="4"/>
      <c r="D575" s="333"/>
      <c r="E575" s="5"/>
      <c r="F575" s="5"/>
      <c r="G575" s="5"/>
      <c r="H575" s="112"/>
      <c r="L575" s="4"/>
      <c r="M575" s="5"/>
      <c r="N575" s="112"/>
      <c r="R575" s="333"/>
      <c r="S575" s="5"/>
      <c r="T575" s="112"/>
      <c r="X575" s="333"/>
      <c r="Y575" s="5"/>
      <c r="AD575" s="333"/>
      <c r="AE575" s="5"/>
      <c r="AJ575" s="333"/>
      <c r="AK575" s="5"/>
      <c r="AP575" s="333"/>
      <c r="AQ575" s="5"/>
    </row>
    <row r="576" ht="15.75" customHeight="1">
      <c r="C576" s="4"/>
      <c r="D576" s="333"/>
      <c r="E576" s="5"/>
      <c r="F576" s="5"/>
      <c r="G576" s="5"/>
      <c r="H576" s="112"/>
      <c r="L576" s="4"/>
      <c r="M576" s="5"/>
      <c r="N576" s="112"/>
      <c r="R576" s="333"/>
      <c r="S576" s="5"/>
      <c r="T576" s="112"/>
      <c r="X576" s="333"/>
      <c r="Y576" s="5"/>
      <c r="AD576" s="333"/>
      <c r="AE576" s="5"/>
      <c r="AJ576" s="333"/>
      <c r="AK576" s="5"/>
      <c r="AP576" s="333"/>
      <c r="AQ576" s="5"/>
    </row>
    <row r="577" ht="15.75" customHeight="1">
      <c r="C577" s="4"/>
      <c r="D577" s="333"/>
      <c r="E577" s="5"/>
      <c r="F577" s="5"/>
      <c r="G577" s="5"/>
      <c r="H577" s="112"/>
      <c r="L577" s="4"/>
      <c r="M577" s="5"/>
      <c r="N577" s="112"/>
      <c r="R577" s="333"/>
      <c r="S577" s="5"/>
      <c r="T577" s="112"/>
      <c r="X577" s="333"/>
      <c r="Y577" s="5"/>
      <c r="AD577" s="333"/>
      <c r="AE577" s="5"/>
      <c r="AJ577" s="333"/>
      <c r="AK577" s="5"/>
      <c r="AP577" s="333"/>
      <c r="AQ577" s="5"/>
    </row>
    <row r="578" ht="15.75" customHeight="1">
      <c r="C578" s="4"/>
      <c r="D578" s="333"/>
      <c r="E578" s="5"/>
      <c r="F578" s="5"/>
      <c r="G578" s="5"/>
      <c r="H578" s="112"/>
      <c r="L578" s="4"/>
      <c r="M578" s="5"/>
      <c r="N578" s="112"/>
      <c r="R578" s="333"/>
      <c r="S578" s="5"/>
      <c r="T578" s="112"/>
      <c r="X578" s="333"/>
      <c r="Y578" s="5"/>
      <c r="AD578" s="333"/>
      <c r="AE578" s="5"/>
      <c r="AJ578" s="333"/>
      <c r="AK578" s="5"/>
      <c r="AP578" s="333"/>
      <c r="AQ578" s="5"/>
    </row>
    <row r="579" ht="15.75" customHeight="1">
      <c r="C579" s="4"/>
      <c r="D579" s="333"/>
      <c r="E579" s="5"/>
      <c r="F579" s="5"/>
      <c r="G579" s="5"/>
      <c r="H579" s="112"/>
      <c r="L579" s="4"/>
      <c r="M579" s="5"/>
      <c r="N579" s="112"/>
      <c r="R579" s="333"/>
      <c r="S579" s="5"/>
      <c r="T579" s="112"/>
      <c r="X579" s="333"/>
      <c r="Y579" s="5"/>
      <c r="AD579" s="333"/>
      <c r="AE579" s="5"/>
      <c r="AJ579" s="333"/>
      <c r="AK579" s="5"/>
      <c r="AP579" s="333"/>
      <c r="AQ579" s="5"/>
    </row>
    <row r="580" ht="15.75" customHeight="1">
      <c r="C580" s="4"/>
      <c r="D580" s="333"/>
      <c r="E580" s="5"/>
      <c r="F580" s="5"/>
      <c r="G580" s="5"/>
      <c r="H580" s="112"/>
      <c r="L580" s="4"/>
      <c r="M580" s="5"/>
      <c r="N580" s="112"/>
      <c r="R580" s="333"/>
      <c r="S580" s="5"/>
      <c r="T580" s="112"/>
      <c r="X580" s="333"/>
      <c r="Y580" s="5"/>
      <c r="AD580" s="333"/>
      <c r="AE580" s="5"/>
      <c r="AJ580" s="333"/>
      <c r="AK580" s="5"/>
      <c r="AP580" s="333"/>
      <c r="AQ580" s="5"/>
    </row>
    <row r="581" ht="15.75" customHeight="1">
      <c r="C581" s="4"/>
      <c r="D581" s="333"/>
      <c r="E581" s="5"/>
      <c r="F581" s="5"/>
      <c r="G581" s="5"/>
      <c r="H581" s="112"/>
      <c r="L581" s="4"/>
      <c r="M581" s="5"/>
      <c r="N581" s="112"/>
      <c r="R581" s="333"/>
      <c r="S581" s="5"/>
      <c r="T581" s="112"/>
      <c r="X581" s="333"/>
      <c r="Y581" s="5"/>
      <c r="AD581" s="333"/>
      <c r="AE581" s="5"/>
      <c r="AJ581" s="333"/>
      <c r="AK581" s="5"/>
      <c r="AP581" s="333"/>
      <c r="AQ581" s="5"/>
    </row>
    <row r="582" ht="15.75" customHeight="1">
      <c r="C582" s="4"/>
      <c r="D582" s="333"/>
      <c r="E582" s="5"/>
      <c r="F582" s="5"/>
      <c r="G582" s="5"/>
      <c r="H582" s="112"/>
      <c r="L582" s="4"/>
      <c r="M582" s="5"/>
      <c r="N582" s="112"/>
      <c r="R582" s="333"/>
      <c r="S582" s="5"/>
      <c r="T582" s="112"/>
      <c r="X582" s="333"/>
      <c r="Y582" s="5"/>
      <c r="AD582" s="333"/>
      <c r="AE582" s="5"/>
      <c r="AJ582" s="333"/>
      <c r="AK582" s="5"/>
      <c r="AP582" s="333"/>
      <c r="AQ582" s="5"/>
    </row>
    <row r="583" ht="15.75" customHeight="1">
      <c r="C583" s="4"/>
      <c r="D583" s="333"/>
      <c r="E583" s="5"/>
      <c r="F583" s="5"/>
      <c r="G583" s="5"/>
      <c r="H583" s="112"/>
      <c r="L583" s="4"/>
      <c r="M583" s="5"/>
      <c r="N583" s="112"/>
      <c r="R583" s="333"/>
      <c r="S583" s="5"/>
      <c r="T583" s="112"/>
      <c r="X583" s="333"/>
      <c r="Y583" s="5"/>
      <c r="AD583" s="333"/>
      <c r="AE583" s="5"/>
      <c r="AJ583" s="333"/>
      <c r="AK583" s="5"/>
      <c r="AP583" s="333"/>
      <c r="AQ583" s="5"/>
    </row>
    <row r="584" ht="15.75" customHeight="1">
      <c r="C584" s="4"/>
      <c r="D584" s="333"/>
      <c r="E584" s="5"/>
      <c r="F584" s="5"/>
      <c r="G584" s="5"/>
      <c r="H584" s="112"/>
      <c r="L584" s="4"/>
      <c r="M584" s="5"/>
      <c r="N584" s="112"/>
      <c r="R584" s="333"/>
      <c r="S584" s="5"/>
      <c r="T584" s="112"/>
      <c r="X584" s="333"/>
      <c r="Y584" s="5"/>
      <c r="AD584" s="333"/>
      <c r="AE584" s="5"/>
      <c r="AJ584" s="333"/>
      <c r="AK584" s="5"/>
      <c r="AP584" s="333"/>
      <c r="AQ584" s="5"/>
    </row>
    <row r="585" ht="15.75" customHeight="1">
      <c r="C585" s="4"/>
      <c r="D585" s="333"/>
      <c r="E585" s="5"/>
      <c r="F585" s="5"/>
      <c r="G585" s="5"/>
      <c r="H585" s="112"/>
      <c r="L585" s="4"/>
      <c r="M585" s="5"/>
      <c r="N585" s="112"/>
      <c r="R585" s="333"/>
      <c r="S585" s="5"/>
      <c r="T585" s="112"/>
      <c r="X585" s="333"/>
      <c r="Y585" s="5"/>
      <c r="AD585" s="333"/>
      <c r="AE585" s="5"/>
      <c r="AJ585" s="333"/>
      <c r="AK585" s="5"/>
      <c r="AP585" s="333"/>
      <c r="AQ585" s="5"/>
    </row>
    <row r="586" ht="15.75" customHeight="1">
      <c r="C586" s="4"/>
      <c r="D586" s="333"/>
      <c r="E586" s="5"/>
      <c r="F586" s="5"/>
      <c r="G586" s="5"/>
      <c r="H586" s="112"/>
      <c r="L586" s="4"/>
      <c r="M586" s="5"/>
      <c r="N586" s="112"/>
      <c r="R586" s="333"/>
      <c r="S586" s="5"/>
      <c r="T586" s="112"/>
      <c r="X586" s="333"/>
      <c r="Y586" s="5"/>
      <c r="AD586" s="333"/>
      <c r="AE586" s="5"/>
      <c r="AJ586" s="333"/>
      <c r="AK586" s="5"/>
      <c r="AP586" s="333"/>
      <c r="AQ586" s="5"/>
    </row>
    <row r="587" ht="15.75" customHeight="1">
      <c r="C587" s="4"/>
      <c r="D587" s="333"/>
      <c r="E587" s="5"/>
      <c r="F587" s="5"/>
      <c r="G587" s="5"/>
      <c r="H587" s="112"/>
      <c r="L587" s="4"/>
      <c r="M587" s="5"/>
      <c r="N587" s="112"/>
      <c r="R587" s="333"/>
      <c r="S587" s="5"/>
      <c r="T587" s="112"/>
      <c r="X587" s="333"/>
      <c r="Y587" s="5"/>
      <c r="AD587" s="333"/>
      <c r="AE587" s="5"/>
      <c r="AJ587" s="333"/>
      <c r="AK587" s="5"/>
      <c r="AP587" s="333"/>
      <c r="AQ587" s="5"/>
    </row>
    <row r="588" ht="15.75" customHeight="1">
      <c r="C588" s="4"/>
      <c r="D588" s="333"/>
      <c r="E588" s="5"/>
      <c r="F588" s="5"/>
      <c r="G588" s="5"/>
      <c r="H588" s="112"/>
      <c r="L588" s="4"/>
      <c r="M588" s="5"/>
      <c r="N588" s="112"/>
      <c r="R588" s="333"/>
      <c r="S588" s="5"/>
      <c r="T588" s="112"/>
      <c r="X588" s="333"/>
      <c r="Y588" s="5"/>
      <c r="AD588" s="333"/>
      <c r="AE588" s="5"/>
      <c r="AJ588" s="333"/>
      <c r="AK588" s="5"/>
      <c r="AP588" s="333"/>
      <c r="AQ588" s="5"/>
    </row>
    <row r="589" ht="15.75" customHeight="1">
      <c r="C589" s="4"/>
      <c r="D589" s="333"/>
      <c r="E589" s="5"/>
      <c r="F589" s="5"/>
      <c r="G589" s="5"/>
      <c r="H589" s="112"/>
      <c r="L589" s="4"/>
      <c r="M589" s="5"/>
      <c r="N589" s="112"/>
      <c r="R589" s="333"/>
      <c r="S589" s="5"/>
      <c r="T589" s="112"/>
      <c r="X589" s="333"/>
      <c r="Y589" s="5"/>
      <c r="AD589" s="333"/>
      <c r="AE589" s="5"/>
      <c r="AJ589" s="333"/>
      <c r="AK589" s="5"/>
      <c r="AP589" s="333"/>
      <c r="AQ589" s="5"/>
    </row>
    <row r="590" ht="15.75" customHeight="1">
      <c r="C590" s="4"/>
      <c r="D590" s="333"/>
      <c r="E590" s="5"/>
      <c r="F590" s="5"/>
      <c r="G590" s="5"/>
      <c r="H590" s="112"/>
      <c r="L590" s="4"/>
      <c r="M590" s="5"/>
      <c r="N590" s="112"/>
      <c r="R590" s="333"/>
      <c r="S590" s="5"/>
      <c r="T590" s="112"/>
      <c r="X590" s="333"/>
      <c r="Y590" s="5"/>
      <c r="AD590" s="333"/>
      <c r="AE590" s="5"/>
      <c r="AJ590" s="333"/>
      <c r="AK590" s="5"/>
      <c r="AP590" s="333"/>
      <c r="AQ590" s="5"/>
    </row>
    <row r="591" ht="15.75" customHeight="1">
      <c r="C591" s="4"/>
      <c r="D591" s="333"/>
      <c r="E591" s="5"/>
      <c r="F591" s="5"/>
      <c r="G591" s="5"/>
      <c r="H591" s="112"/>
      <c r="L591" s="4"/>
      <c r="M591" s="5"/>
      <c r="N591" s="112"/>
      <c r="R591" s="333"/>
      <c r="S591" s="5"/>
      <c r="T591" s="112"/>
      <c r="X591" s="333"/>
      <c r="Y591" s="5"/>
      <c r="AD591" s="333"/>
      <c r="AE591" s="5"/>
      <c r="AJ591" s="333"/>
      <c r="AK591" s="5"/>
      <c r="AP591" s="333"/>
      <c r="AQ591" s="5"/>
    </row>
    <row r="592" ht="15.75" customHeight="1">
      <c r="C592" s="4"/>
      <c r="D592" s="333"/>
      <c r="E592" s="5"/>
      <c r="F592" s="5"/>
      <c r="G592" s="5"/>
      <c r="H592" s="112"/>
      <c r="L592" s="4"/>
      <c r="M592" s="5"/>
      <c r="N592" s="112"/>
      <c r="R592" s="333"/>
      <c r="S592" s="5"/>
      <c r="T592" s="112"/>
      <c r="X592" s="333"/>
      <c r="Y592" s="5"/>
      <c r="AD592" s="333"/>
      <c r="AE592" s="5"/>
      <c r="AJ592" s="333"/>
      <c r="AK592" s="5"/>
      <c r="AP592" s="333"/>
      <c r="AQ592" s="5"/>
    </row>
    <row r="593" ht="15.75" customHeight="1">
      <c r="C593" s="4"/>
      <c r="D593" s="333"/>
      <c r="E593" s="5"/>
      <c r="F593" s="5"/>
      <c r="G593" s="5"/>
      <c r="H593" s="112"/>
      <c r="L593" s="4"/>
      <c r="M593" s="5"/>
      <c r="N593" s="112"/>
      <c r="R593" s="333"/>
      <c r="S593" s="5"/>
      <c r="T593" s="112"/>
      <c r="X593" s="333"/>
      <c r="Y593" s="5"/>
      <c r="AD593" s="333"/>
      <c r="AE593" s="5"/>
      <c r="AJ593" s="333"/>
      <c r="AK593" s="5"/>
      <c r="AP593" s="333"/>
      <c r="AQ593" s="5"/>
    </row>
    <row r="594" ht="15.75" customHeight="1">
      <c r="C594" s="4"/>
      <c r="D594" s="333"/>
      <c r="E594" s="5"/>
      <c r="F594" s="5"/>
      <c r="G594" s="5"/>
      <c r="H594" s="112"/>
      <c r="L594" s="4"/>
      <c r="M594" s="5"/>
      <c r="N594" s="112"/>
      <c r="R594" s="333"/>
      <c r="S594" s="5"/>
      <c r="T594" s="112"/>
      <c r="X594" s="333"/>
      <c r="Y594" s="5"/>
      <c r="AD594" s="333"/>
      <c r="AE594" s="5"/>
      <c r="AJ594" s="333"/>
      <c r="AK594" s="5"/>
      <c r="AP594" s="333"/>
      <c r="AQ594" s="5"/>
    </row>
    <row r="595" ht="15.75" customHeight="1">
      <c r="C595" s="4"/>
      <c r="D595" s="333"/>
      <c r="E595" s="5"/>
      <c r="F595" s="5"/>
      <c r="G595" s="5"/>
      <c r="H595" s="112"/>
      <c r="L595" s="4"/>
      <c r="M595" s="5"/>
      <c r="N595" s="112"/>
      <c r="R595" s="333"/>
      <c r="S595" s="5"/>
      <c r="T595" s="112"/>
      <c r="X595" s="333"/>
      <c r="Y595" s="5"/>
      <c r="AD595" s="333"/>
      <c r="AE595" s="5"/>
      <c r="AJ595" s="333"/>
      <c r="AK595" s="5"/>
      <c r="AP595" s="333"/>
      <c r="AQ595" s="5"/>
    </row>
    <row r="596" ht="15.75" customHeight="1">
      <c r="C596" s="4"/>
      <c r="D596" s="333"/>
      <c r="E596" s="5"/>
      <c r="F596" s="5"/>
      <c r="G596" s="5"/>
      <c r="H596" s="112"/>
      <c r="L596" s="4"/>
      <c r="M596" s="5"/>
      <c r="N596" s="112"/>
      <c r="R596" s="333"/>
      <c r="S596" s="5"/>
      <c r="T596" s="112"/>
      <c r="X596" s="333"/>
      <c r="Y596" s="5"/>
      <c r="AD596" s="333"/>
      <c r="AE596" s="5"/>
      <c r="AJ596" s="333"/>
      <c r="AK596" s="5"/>
      <c r="AP596" s="333"/>
      <c r="AQ596" s="5"/>
    </row>
    <row r="597" ht="15.75" customHeight="1">
      <c r="C597" s="4"/>
      <c r="D597" s="333"/>
      <c r="E597" s="5"/>
      <c r="F597" s="5"/>
      <c r="G597" s="5"/>
      <c r="H597" s="112"/>
      <c r="L597" s="4"/>
      <c r="M597" s="5"/>
      <c r="N597" s="112"/>
      <c r="R597" s="333"/>
      <c r="S597" s="5"/>
      <c r="T597" s="112"/>
      <c r="X597" s="333"/>
      <c r="Y597" s="5"/>
      <c r="AD597" s="333"/>
      <c r="AE597" s="5"/>
      <c r="AJ597" s="333"/>
      <c r="AK597" s="5"/>
      <c r="AP597" s="333"/>
      <c r="AQ597" s="5"/>
    </row>
    <row r="598" ht="15.75" customHeight="1">
      <c r="C598" s="4"/>
      <c r="D598" s="333"/>
      <c r="E598" s="5"/>
      <c r="F598" s="5"/>
      <c r="G598" s="5"/>
      <c r="H598" s="112"/>
      <c r="L598" s="4"/>
      <c r="M598" s="5"/>
      <c r="N598" s="112"/>
      <c r="R598" s="333"/>
      <c r="S598" s="5"/>
      <c r="T598" s="112"/>
      <c r="X598" s="333"/>
      <c r="Y598" s="5"/>
      <c r="AD598" s="333"/>
      <c r="AE598" s="5"/>
      <c r="AJ598" s="333"/>
      <c r="AK598" s="5"/>
      <c r="AP598" s="333"/>
      <c r="AQ598" s="5"/>
    </row>
    <row r="599" ht="15.75" customHeight="1">
      <c r="C599" s="4"/>
      <c r="D599" s="333"/>
      <c r="E599" s="5"/>
      <c r="F599" s="5"/>
      <c r="G599" s="5"/>
      <c r="H599" s="112"/>
      <c r="L599" s="4"/>
      <c r="M599" s="5"/>
      <c r="N599" s="112"/>
      <c r="R599" s="333"/>
      <c r="S599" s="5"/>
      <c r="T599" s="112"/>
      <c r="X599" s="333"/>
      <c r="Y599" s="5"/>
      <c r="AD599" s="333"/>
      <c r="AE599" s="5"/>
      <c r="AJ599" s="333"/>
      <c r="AK599" s="5"/>
      <c r="AP599" s="333"/>
      <c r="AQ599" s="5"/>
    </row>
    <row r="600" ht="15.75" customHeight="1">
      <c r="C600" s="4"/>
      <c r="D600" s="333"/>
      <c r="E600" s="5"/>
      <c r="F600" s="5"/>
      <c r="G600" s="5"/>
      <c r="H600" s="112"/>
      <c r="L600" s="4"/>
      <c r="M600" s="5"/>
      <c r="N600" s="112"/>
      <c r="R600" s="333"/>
      <c r="S600" s="5"/>
      <c r="T600" s="112"/>
      <c r="X600" s="333"/>
      <c r="Y600" s="5"/>
      <c r="AD600" s="333"/>
      <c r="AE600" s="5"/>
      <c r="AJ600" s="333"/>
      <c r="AK600" s="5"/>
      <c r="AP600" s="333"/>
      <c r="AQ600" s="5"/>
    </row>
    <row r="601" ht="15.75" customHeight="1">
      <c r="C601" s="4"/>
      <c r="D601" s="333"/>
      <c r="E601" s="5"/>
      <c r="F601" s="5"/>
      <c r="G601" s="5"/>
      <c r="H601" s="112"/>
      <c r="L601" s="4"/>
      <c r="M601" s="5"/>
      <c r="N601" s="112"/>
      <c r="R601" s="333"/>
      <c r="S601" s="5"/>
      <c r="T601" s="112"/>
      <c r="X601" s="333"/>
      <c r="Y601" s="5"/>
      <c r="AD601" s="333"/>
      <c r="AE601" s="5"/>
      <c r="AJ601" s="333"/>
      <c r="AK601" s="5"/>
      <c r="AP601" s="333"/>
      <c r="AQ601" s="5"/>
    </row>
    <row r="602" ht="15.75" customHeight="1">
      <c r="C602" s="4"/>
      <c r="D602" s="333"/>
      <c r="E602" s="5"/>
      <c r="F602" s="5"/>
      <c r="G602" s="5"/>
      <c r="H602" s="112"/>
      <c r="L602" s="4"/>
      <c r="M602" s="5"/>
      <c r="N602" s="112"/>
      <c r="R602" s="333"/>
      <c r="S602" s="5"/>
      <c r="T602" s="112"/>
      <c r="X602" s="333"/>
      <c r="Y602" s="5"/>
      <c r="AD602" s="333"/>
      <c r="AE602" s="5"/>
      <c r="AJ602" s="333"/>
      <c r="AK602" s="5"/>
      <c r="AP602" s="333"/>
      <c r="AQ602" s="5"/>
    </row>
    <row r="603" ht="15.75" customHeight="1">
      <c r="C603" s="4"/>
      <c r="D603" s="333"/>
      <c r="E603" s="5"/>
      <c r="F603" s="5"/>
      <c r="G603" s="5"/>
      <c r="H603" s="112"/>
      <c r="L603" s="4"/>
      <c r="M603" s="5"/>
      <c r="N603" s="112"/>
      <c r="R603" s="333"/>
      <c r="S603" s="5"/>
      <c r="T603" s="112"/>
      <c r="X603" s="333"/>
      <c r="Y603" s="5"/>
      <c r="AD603" s="333"/>
      <c r="AE603" s="5"/>
      <c r="AJ603" s="333"/>
      <c r="AK603" s="5"/>
      <c r="AP603" s="333"/>
      <c r="AQ603" s="5"/>
    </row>
    <row r="604" ht="15.75" customHeight="1">
      <c r="C604" s="4"/>
      <c r="D604" s="333"/>
      <c r="E604" s="5"/>
      <c r="F604" s="5"/>
      <c r="G604" s="5"/>
      <c r="H604" s="112"/>
      <c r="L604" s="4"/>
      <c r="M604" s="5"/>
      <c r="N604" s="112"/>
      <c r="R604" s="333"/>
      <c r="S604" s="5"/>
      <c r="T604" s="112"/>
      <c r="X604" s="333"/>
      <c r="Y604" s="5"/>
      <c r="AD604" s="333"/>
      <c r="AE604" s="5"/>
      <c r="AJ604" s="333"/>
      <c r="AK604" s="5"/>
      <c r="AP604" s="333"/>
      <c r="AQ604" s="5"/>
    </row>
    <row r="605" ht="15.75" customHeight="1">
      <c r="C605" s="4"/>
      <c r="D605" s="333"/>
      <c r="E605" s="5"/>
      <c r="F605" s="5"/>
      <c r="G605" s="5"/>
      <c r="H605" s="112"/>
      <c r="L605" s="4"/>
      <c r="M605" s="5"/>
      <c r="N605" s="112"/>
      <c r="R605" s="333"/>
      <c r="S605" s="5"/>
      <c r="T605" s="112"/>
      <c r="X605" s="333"/>
      <c r="Y605" s="5"/>
      <c r="AD605" s="333"/>
      <c r="AE605" s="5"/>
      <c r="AJ605" s="333"/>
      <c r="AK605" s="5"/>
      <c r="AP605" s="333"/>
      <c r="AQ605" s="5"/>
    </row>
    <row r="606" ht="15.75" customHeight="1">
      <c r="C606" s="4"/>
      <c r="D606" s="333"/>
      <c r="E606" s="5"/>
      <c r="F606" s="5"/>
      <c r="G606" s="5"/>
      <c r="H606" s="112"/>
      <c r="L606" s="4"/>
      <c r="M606" s="5"/>
      <c r="N606" s="112"/>
      <c r="R606" s="333"/>
      <c r="S606" s="5"/>
      <c r="T606" s="112"/>
      <c r="X606" s="333"/>
      <c r="Y606" s="5"/>
      <c r="AD606" s="333"/>
      <c r="AE606" s="5"/>
      <c r="AJ606" s="333"/>
      <c r="AK606" s="5"/>
      <c r="AP606" s="333"/>
      <c r="AQ606" s="5"/>
    </row>
    <row r="607" ht="15.75" customHeight="1">
      <c r="C607" s="4"/>
      <c r="D607" s="333"/>
      <c r="E607" s="5"/>
      <c r="F607" s="5"/>
      <c r="G607" s="5"/>
      <c r="H607" s="112"/>
      <c r="L607" s="4"/>
      <c r="M607" s="5"/>
      <c r="N607" s="112"/>
      <c r="R607" s="333"/>
      <c r="S607" s="5"/>
      <c r="T607" s="112"/>
      <c r="X607" s="333"/>
      <c r="Y607" s="5"/>
      <c r="AD607" s="333"/>
      <c r="AE607" s="5"/>
      <c r="AJ607" s="333"/>
      <c r="AK607" s="5"/>
      <c r="AP607" s="333"/>
      <c r="AQ607" s="5"/>
    </row>
    <row r="608" ht="15.75" customHeight="1">
      <c r="C608" s="4"/>
      <c r="D608" s="333"/>
      <c r="E608" s="5"/>
      <c r="F608" s="5"/>
      <c r="G608" s="5"/>
      <c r="H608" s="112"/>
      <c r="L608" s="4"/>
      <c r="M608" s="5"/>
      <c r="N608" s="112"/>
      <c r="R608" s="333"/>
      <c r="S608" s="5"/>
      <c r="T608" s="112"/>
      <c r="X608" s="333"/>
      <c r="Y608" s="5"/>
      <c r="AD608" s="333"/>
      <c r="AE608" s="5"/>
      <c r="AJ608" s="333"/>
      <c r="AK608" s="5"/>
      <c r="AP608" s="333"/>
      <c r="AQ608" s="5"/>
    </row>
    <row r="609" ht="15.75" customHeight="1">
      <c r="C609" s="4"/>
      <c r="D609" s="333"/>
      <c r="E609" s="5"/>
      <c r="F609" s="5"/>
      <c r="G609" s="5"/>
      <c r="H609" s="112"/>
      <c r="L609" s="4"/>
      <c r="M609" s="5"/>
      <c r="N609" s="112"/>
      <c r="R609" s="333"/>
      <c r="S609" s="5"/>
      <c r="T609" s="112"/>
      <c r="X609" s="333"/>
      <c r="Y609" s="5"/>
      <c r="AD609" s="333"/>
      <c r="AE609" s="5"/>
      <c r="AJ609" s="333"/>
      <c r="AK609" s="5"/>
      <c r="AP609" s="333"/>
      <c r="AQ609" s="5"/>
    </row>
    <row r="610" ht="15.75" customHeight="1">
      <c r="C610" s="4"/>
      <c r="D610" s="333"/>
      <c r="E610" s="5"/>
      <c r="F610" s="5"/>
      <c r="G610" s="5"/>
      <c r="H610" s="112"/>
      <c r="L610" s="4"/>
      <c r="M610" s="5"/>
      <c r="N610" s="112"/>
      <c r="R610" s="333"/>
      <c r="S610" s="5"/>
      <c r="T610" s="112"/>
      <c r="X610" s="333"/>
      <c r="Y610" s="5"/>
      <c r="AD610" s="333"/>
      <c r="AE610" s="5"/>
      <c r="AJ610" s="333"/>
      <c r="AK610" s="5"/>
      <c r="AP610" s="333"/>
      <c r="AQ610" s="5"/>
    </row>
    <row r="611" ht="15.75" customHeight="1">
      <c r="C611" s="4"/>
      <c r="D611" s="333"/>
      <c r="E611" s="5"/>
      <c r="F611" s="5"/>
      <c r="G611" s="5"/>
      <c r="H611" s="112"/>
      <c r="L611" s="4"/>
      <c r="M611" s="5"/>
      <c r="N611" s="112"/>
      <c r="R611" s="333"/>
      <c r="S611" s="5"/>
      <c r="T611" s="112"/>
      <c r="X611" s="333"/>
      <c r="Y611" s="5"/>
      <c r="AD611" s="333"/>
      <c r="AE611" s="5"/>
      <c r="AJ611" s="333"/>
      <c r="AK611" s="5"/>
      <c r="AP611" s="333"/>
      <c r="AQ611" s="5"/>
    </row>
    <row r="612" ht="15.75" customHeight="1">
      <c r="C612" s="4"/>
      <c r="D612" s="333"/>
      <c r="E612" s="5"/>
      <c r="F612" s="5"/>
      <c r="G612" s="5"/>
      <c r="H612" s="112"/>
      <c r="L612" s="4"/>
      <c r="M612" s="5"/>
      <c r="N612" s="112"/>
      <c r="R612" s="333"/>
      <c r="S612" s="5"/>
      <c r="T612" s="112"/>
      <c r="X612" s="333"/>
      <c r="Y612" s="5"/>
      <c r="AD612" s="333"/>
      <c r="AE612" s="5"/>
      <c r="AJ612" s="333"/>
      <c r="AK612" s="5"/>
      <c r="AP612" s="333"/>
      <c r="AQ612" s="5"/>
    </row>
    <row r="613" ht="15.75" customHeight="1">
      <c r="C613" s="4"/>
      <c r="D613" s="333"/>
      <c r="E613" s="5"/>
      <c r="F613" s="5"/>
      <c r="G613" s="5"/>
      <c r="H613" s="112"/>
      <c r="L613" s="4"/>
      <c r="M613" s="5"/>
      <c r="N613" s="112"/>
      <c r="R613" s="333"/>
      <c r="S613" s="5"/>
      <c r="T613" s="112"/>
      <c r="X613" s="333"/>
      <c r="Y613" s="5"/>
      <c r="AD613" s="333"/>
      <c r="AE613" s="5"/>
      <c r="AJ613" s="333"/>
      <c r="AK613" s="5"/>
      <c r="AP613" s="333"/>
      <c r="AQ613" s="5"/>
    </row>
    <row r="614" ht="15.75" customHeight="1">
      <c r="C614" s="4"/>
      <c r="D614" s="333"/>
      <c r="E614" s="5"/>
      <c r="F614" s="5"/>
      <c r="G614" s="5"/>
      <c r="H614" s="112"/>
      <c r="L614" s="4"/>
      <c r="M614" s="5"/>
      <c r="N614" s="112"/>
      <c r="R614" s="333"/>
      <c r="S614" s="5"/>
      <c r="T614" s="112"/>
      <c r="X614" s="333"/>
      <c r="Y614" s="5"/>
      <c r="AD614" s="333"/>
      <c r="AE614" s="5"/>
      <c r="AJ614" s="333"/>
      <c r="AK614" s="5"/>
      <c r="AP614" s="333"/>
      <c r="AQ614" s="5"/>
    </row>
    <row r="615" ht="15.75" customHeight="1">
      <c r="C615" s="4"/>
      <c r="D615" s="333"/>
      <c r="E615" s="5"/>
      <c r="F615" s="5"/>
      <c r="G615" s="5"/>
      <c r="H615" s="112"/>
      <c r="L615" s="4"/>
      <c r="M615" s="5"/>
      <c r="N615" s="112"/>
      <c r="R615" s="333"/>
      <c r="S615" s="5"/>
      <c r="T615" s="112"/>
      <c r="X615" s="333"/>
      <c r="Y615" s="5"/>
      <c r="AD615" s="333"/>
      <c r="AE615" s="5"/>
      <c r="AJ615" s="333"/>
      <c r="AK615" s="5"/>
      <c r="AP615" s="333"/>
      <c r="AQ615" s="5"/>
    </row>
    <row r="616" ht="15.75" customHeight="1">
      <c r="C616" s="4"/>
      <c r="D616" s="333"/>
      <c r="E616" s="5"/>
      <c r="F616" s="5"/>
      <c r="G616" s="5"/>
      <c r="H616" s="112"/>
      <c r="L616" s="4"/>
      <c r="M616" s="5"/>
      <c r="N616" s="112"/>
      <c r="R616" s="333"/>
      <c r="S616" s="5"/>
      <c r="T616" s="112"/>
      <c r="X616" s="333"/>
      <c r="Y616" s="5"/>
      <c r="AD616" s="333"/>
      <c r="AE616" s="5"/>
      <c r="AJ616" s="333"/>
      <c r="AK616" s="5"/>
      <c r="AP616" s="333"/>
      <c r="AQ616" s="5"/>
    </row>
    <row r="617" ht="15.75" customHeight="1">
      <c r="C617" s="4"/>
      <c r="D617" s="333"/>
      <c r="E617" s="5"/>
      <c r="F617" s="5"/>
      <c r="G617" s="5"/>
      <c r="H617" s="112"/>
      <c r="L617" s="4"/>
      <c r="M617" s="5"/>
      <c r="N617" s="112"/>
      <c r="R617" s="333"/>
      <c r="S617" s="5"/>
      <c r="T617" s="112"/>
      <c r="X617" s="333"/>
      <c r="Y617" s="5"/>
      <c r="AD617" s="333"/>
      <c r="AE617" s="5"/>
      <c r="AJ617" s="333"/>
      <c r="AK617" s="5"/>
      <c r="AP617" s="333"/>
      <c r="AQ617" s="5"/>
    </row>
    <row r="618" ht="15.75" customHeight="1">
      <c r="C618" s="4"/>
      <c r="D618" s="333"/>
      <c r="E618" s="5"/>
      <c r="F618" s="5"/>
      <c r="G618" s="5"/>
      <c r="H618" s="112"/>
      <c r="L618" s="4"/>
      <c r="M618" s="5"/>
      <c r="N618" s="112"/>
      <c r="R618" s="333"/>
      <c r="S618" s="5"/>
      <c r="T618" s="112"/>
      <c r="X618" s="333"/>
      <c r="Y618" s="5"/>
      <c r="AD618" s="333"/>
      <c r="AE618" s="5"/>
      <c r="AJ618" s="333"/>
      <c r="AK618" s="5"/>
      <c r="AP618" s="333"/>
      <c r="AQ618" s="5"/>
    </row>
    <row r="619" ht="15.75" customHeight="1">
      <c r="C619" s="4"/>
      <c r="D619" s="333"/>
      <c r="E619" s="5"/>
      <c r="F619" s="5"/>
      <c r="G619" s="5"/>
      <c r="H619" s="112"/>
      <c r="L619" s="4"/>
      <c r="M619" s="5"/>
      <c r="N619" s="112"/>
      <c r="R619" s="333"/>
      <c r="S619" s="5"/>
      <c r="T619" s="112"/>
      <c r="X619" s="333"/>
      <c r="Y619" s="5"/>
      <c r="AD619" s="333"/>
      <c r="AE619" s="5"/>
      <c r="AJ619" s="333"/>
      <c r="AK619" s="5"/>
      <c r="AP619" s="333"/>
      <c r="AQ619" s="5"/>
    </row>
    <row r="620" ht="15.75" customHeight="1">
      <c r="C620" s="4"/>
      <c r="D620" s="333"/>
      <c r="E620" s="5"/>
      <c r="F620" s="5"/>
      <c r="G620" s="5"/>
      <c r="H620" s="112"/>
      <c r="L620" s="4"/>
      <c r="M620" s="5"/>
      <c r="N620" s="112"/>
      <c r="R620" s="333"/>
      <c r="S620" s="5"/>
      <c r="T620" s="112"/>
      <c r="X620" s="333"/>
      <c r="Y620" s="5"/>
      <c r="AD620" s="333"/>
      <c r="AE620" s="5"/>
      <c r="AJ620" s="333"/>
      <c r="AK620" s="5"/>
      <c r="AP620" s="333"/>
      <c r="AQ620" s="5"/>
    </row>
    <row r="621" ht="15.75" customHeight="1">
      <c r="C621" s="4"/>
      <c r="D621" s="333"/>
      <c r="E621" s="5"/>
      <c r="F621" s="5"/>
      <c r="G621" s="5"/>
      <c r="H621" s="112"/>
      <c r="L621" s="4"/>
      <c r="M621" s="5"/>
      <c r="N621" s="112"/>
      <c r="R621" s="333"/>
      <c r="S621" s="5"/>
      <c r="T621" s="112"/>
      <c r="X621" s="333"/>
      <c r="Y621" s="5"/>
      <c r="AD621" s="333"/>
      <c r="AE621" s="5"/>
      <c r="AJ621" s="333"/>
      <c r="AK621" s="5"/>
      <c r="AP621" s="333"/>
      <c r="AQ621" s="5"/>
    </row>
    <row r="622" ht="15.75" customHeight="1">
      <c r="C622" s="4"/>
      <c r="D622" s="333"/>
      <c r="E622" s="5"/>
      <c r="F622" s="5"/>
      <c r="G622" s="5"/>
      <c r="H622" s="112"/>
      <c r="L622" s="4"/>
      <c r="M622" s="5"/>
      <c r="N622" s="112"/>
      <c r="R622" s="333"/>
      <c r="S622" s="5"/>
      <c r="T622" s="112"/>
      <c r="X622" s="333"/>
      <c r="Y622" s="5"/>
      <c r="AD622" s="333"/>
      <c r="AE622" s="5"/>
      <c r="AJ622" s="333"/>
      <c r="AK622" s="5"/>
      <c r="AP622" s="333"/>
      <c r="AQ622" s="5"/>
    </row>
    <row r="623" ht="15.75" customHeight="1">
      <c r="C623" s="4"/>
      <c r="D623" s="333"/>
      <c r="E623" s="5"/>
      <c r="F623" s="5"/>
      <c r="G623" s="5"/>
      <c r="H623" s="112"/>
      <c r="L623" s="4"/>
      <c r="M623" s="5"/>
      <c r="N623" s="112"/>
      <c r="R623" s="333"/>
      <c r="S623" s="5"/>
      <c r="T623" s="112"/>
      <c r="X623" s="333"/>
      <c r="Y623" s="5"/>
      <c r="AD623" s="333"/>
      <c r="AE623" s="5"/>
      <c r="AJ623" s="333"/>
      <c r="AK623" s="5"/>
      <c r="AP623" s="333"/>
      <c r="AQ623" s="5"/>
    </row>
    <row r="624" ht="15.75" customHeight="1">
      <c r="C624" s="4"/>
      <c r="D624" s="333"/>
      <c r="E624" s="5"/>
      <c r="F624" s="5"/>
      <c r="G624" s="5"/>
      <c r="H624" s="112"/>
      <c r="L624" s="4"/>
      <c r="M624" s="5"/>
      <c r="N624" s="112"/>
      <c r="R624" s="333"/>
      <c r="S624" s="5"/>
      <c r="T624" s="112"/>
      <c r="X624" s="333"/>
      <c r="Y624" s="5"/>
      <c r="AD624" s="333"/>
      <c r="AE624" s="5"/>
      <c r="AJ624" s="333"/>
      <c r="AK624" s="5"/>
      <c r="AP624" s="333"/>
      <c r="AQ624" s="5"/>
    </row>
    <row r="625" ht="15.75" customHeight="1">
      <c r="C625" s="4"/>
      <c r="D625" s="333"/>
      <c r="E625" s="5"/>
      <c r="F625" s="5"/>
      <c r="G625" s="5"/>
      <c r="H625" s="112"/>
      <c r="L625" s="4"/>
      <c r="M625" s="5"/>
      <c r="N625" s="112"/>
      <c r="R625" s="333"/>
      <c r="S625" s="5"/>
      <c r="T625" s="112"/>
      <c r="X625" s="333"/>
      <c r="Y625" s="5"/>
      <c r="AD625" s="333"/>
      <c r="AE625" s="5"/>
      <c r="AJ625" s="333"/>
      <c r="AK625" s="5"/>
      <c r="AP625" s="333"/>
      <c r="AQ625" s="5"/>
    </row>
    <row r="626" ht="15.75" customHeight="1">
      <c r="C626" s="4"/>
      <c r="D626" s="333"/>
      <c r="E626" s="5"/>
      <c r="F626" s="5"/>
      <c r="G626" s="5"/>
      <c r="H626" s="112"/>
      <c r="L626" s="4"/>
      <c r="M626" s="5"/>
      <c r="N626" s="112"/>
      <c r="R626" s="333"/>
      <c r="S626" s="5"/>
      <c r="T626" s="112"/>
      <c r="X626" s="333"/>
      <c r="Y626" s="5"/>
      <c r="AD626" s="333"/>
      <c r="AE626" s="5"/>
      <c r="AJ626" s="333"/>
      <c r="AK626" s="5"/>
      <c r="AP626" s="333"/>
      <c r="AQ626" s="5"/>
    </row>
    <row r="627" ht="15.75" customHeight="1">
      <c r="C627" s="4"/>
      <c r="D627" s="333"/>
      <c r="E627" s="5"/>
      <c r="F627" s="5"/>
      <c r="G627" s="5"/>
      <c r="H627" s="112"/>
      <c r="L627" s="4"/>
      <c r="M627" s="5"/>
      <c r="N627" s="112"/>
      <c r="R627" s="333"/>
      <c r="S627" s="5"/>
      <c r="T627" s="112"/>
      <c r="X627" s="333"/>
      <c r="Y627" s="5"/>
      <c r="AD627" s="333"/>
      <c r="AE627" s="5"/>
      <c r="AJ627" s="333"/>
      <c r="AK627" s="5"/>
      <c r="AP627" s="333"/>
      <c r="AQ627" s="5"/>
    </row>
    <row r="628" ht="15.75" customHeight="1">
      <c r="C628" s="4"/>
      <c r="D628" s="333"/>
      <c r="E628" s="5"/>
      <c r="F628" s="5"/>
      <c r="G628" s="5"/>
      <c r="H628" s="112"/>
      <c r="L628" s="4"/>
      <c r="M628" s="5"/>
      <c r="N628" s="112"/>
      <c r="R628" s="333"/>
      <c r="S628" s="5"/>
      <c r="T628" s="112"/>
      <c r="X628" s="333"/>
      <c r="Y628" s="5"/>
      <c r="AD628" s="333"/>
      <c r="AE628" s="5"/>
      <c r="AJ628" s="333"/>
      <c r="AK628" s="5"/>
      <c r="AP628" s="333"/>
      <c r="AQ628" s="5"/>
    </row>
    <row r="629" ht="15.75" customHeight="1">
      <c r="C629" s="4"/>
      <c r="D629" s="333"/>
      <c r="E629" s="5"/>
      <c r="F629" s="5"/>
      <c r="G629" s="5"/>
      <c r="H629" s="112"/>
      <c r="L629" s="4"/>
      <c r="M629" s="5"/>
      <c r="N629" s="112"/>
      <c r="R629" s="333"/>
      <c r="S629" s="5"/>
      <c r="T629" s="112"/>
      <c r="X629" s="333"/>
      <c r="Y629" s="5"/>
      <c r="AD629" s="333"/>
      <c r="AE629" s="5"/>
      <c r="AJ629" s="333"/>
      <c r="AK629" s="5"/>
      <c r="AP629" s="333"/>
      <c r="AQ629" s="5"/>
    </row>
    <row r="630" ht="15.75" customHeight="1">
      <c r="C630" s="4"/>
      <c r="D630" s="333"/>
      <c r="E630" s="5"/>
      <c r="F630" s="5"/>
      <c r="G630" s="5"/>
      <c r="H630" s="112"/>
      <c r="L630" s="4"/>
      <c r="M630" s="5"/>
      <c r="N630" s="112"/>
      <c r="R630" s="333"/>
      <c r="S630" s="5"/>
      <c r="T630" s="112"/>
      <c r="X630" s="333"/>
      <c r="Y630" s="5"/>
      <c r="AD630" s="333"/>
      <c r="AE630" s="5"/>
      <c r="AJ630" s="333"/>
      <c r="AK630" s="5"/>
      <c r="AP630" s="333"/>
      <c r="AQ630" s="5"/>
    </row>
    <row r="631" ht="15.75" customHeight="1">
      <c r="C631" s="4"/>
      <c r="D631" s="333"/>
      <c r="E631" s="5"/>
      <c r="F631" s="5"/>
      <c r="G631" s="5"/>
      <c r="H631" s="112"/>
      <c r="L631" s="4"/>
      <c r="M631" s="5"/>
      <c r="N631" s="112"/>
      <c r="R631" s="333"/>
      <c r="S631" s="5"/>
      <c r="T631" s="112"/>
      <c r="X631" s="333"/>
      <c r="Y631" s="5"/>
      <c r="AD631" s="333"/>
      <c r="AE631" s="5"/>
      <c r="AJ631" s="333"/>
      <c r="AK631" s="5"/>
      <c r="AP631" s="333"/>
      <c r="AQ631" s="5"/>
    </row>
    <row r="632" ht="15.75" customHeight="1">
      <c r="C632" s="4"/>
      <c r="D632" s="333"/>
      <c r="E632" s="5"/>
      <c r="F632" s="5"/>
      <c r="G632" s="5"/>
      <c r="H632" s="112"/>
      <c r="L632" s="4"/>
      <c r="M632" s="5"/>
      <c r="N632" s="112"/>
      <c r="R632" s="333"/>
      <c r="S632" s="5"/>
      <c r="T632" s="112"/>
      <c r="X632" s="333"/>
      <c r="Y632" s="5"/>
      <c r="AD632" s="333"/>
      <c r="AE632" s="5"/>
      <c r="AJ632" s="333"/>
      <c r="AK632" s="5"/>
      <c r="AP632" s="333"/>
      <c r="AQ632" s="5"/>
    </row>
    <row r="633" ht="15.75" customHeight="1">
      <c r="C633" s="4"/>
      <c r="D633" s="333"/>
      <c r="E633" s="5"/>
      <c r="F633" s="5"/>
      <c r="G633" s="5"/>
      <c r="H633" s="112"/>
      <c r="L633" s="4"/>
      <c r="M633" s="5"/>
      <c r="N633" s="112"/>
      <c r="R633" s="333"/>
      <c r="S633" s="5"/>
      <c r="T633" s="112"/>
      <c r="X633" s="333"/>
      <c r="Y633" s="5"/>
      <c r="AD633" s="333"/>
      <c r="AE633" s="5"/>
      <c r="AJ633" s="333"/>
      <c r="AK633" s="5"/>
      <c r="AP633" s="333"/>
      <c r="AQ633" s="5"/>
    </row>
    <row r="634" ht="15.75" customHeight="1">
      <c r="C634" s="4"/>
      <c r="D634" s="333"/>
      <c r="E634" s="5"/>
      <c r="F634" s="5"/>
      <c r="G634" s="5"/>
      <c r="H634" s="112"/>
      <c r="L634" s="4"/>
      <c r="M634" s="5"/>
      <c r="N634" s="112"/>
      <c r="R634" s="333"/>
      <c r="S634" s="5"/>
      <c r="T634" s="112"/>
      <c r="X634" s="333"/>
      <c r="Y634" s="5"/>
      <c r="AD634" s="333"/>
      <c r="AE634" s="5"/>
      <c r="AJ634" s="333"/>
      <c r="AK634" s="5"/>
      <c r="AP634" s="333"/>
      <c r="AQ634" s="5"/>
    </row>
    <row r="635" ht="15.75" customHeight="1">
      <c r="C635" s="4"/>
      <c r="D635" s="333"/>
      <c r="E635" s="5"/>
      <c r="F635" s="5"/>
      <c r="G635" s="5"/>
      <c r="H635" s="112"/>
      <c r="L635" s="4"/>
      <c r="M635" s="5"/>
      <c r="N635" s="112"/>
      <c r="R635" s="333"/>
      <c r="S635" s="5"/>
      <c r="T635" s="112"/>
      <c r="X635" s="333"/>
      <c r="Y635" s="5"/>
      <c r="AD635" s="333"/>
      <c r="AE635" s="5"/>
      <c r="AJ635" s="333"/>
      <c r="AK635" s="5"/>
      <c r="AP635" s="333"/>
      <c r="AQ635" s="5"/>
    </row>
    <row r="636" ht="15.75" customHeight="1">
      <c r="C636" s="4"/>
      <c r="D636" s="333"/>
      <c r="E636" s="5"/>
      <c r="F636" s="5"/>
      <c r="G636" s="5"/>
      <c r="H636" s="112"/>
      <c r="L636" s="4"/>
      <c r="M636" s="5"/>
      <c r="N636" s="112"/>
      <c r="R636" s="333"/>
      <c r="S636" s="5"/>
      <c r="T636" s="112"/>
      <c r="X636" s="333"/>
      <c r="Y636" s="5"/>
      <c r="AD636" s="333"/>
      <c r="AE636" s="5"/>
      <c r="AJ636" s="333"/>
      <c r="AK636" s="5"/>
      <c r="AP636" s="333"/>
      <c r="AQ636" s="5"/>
    </row>
    <row r="637" ht="15.75" customHeight="1">
      <c r="C637" s="4"/>
      <c r="D637" s="333"/>
      <c r="E637" s="5"/>
      <c r="F637" s="5"/>
      <c r="G637" s="5"/>
      <c r="H637" s="112"/>
      <c r="L637" s="4"/>
      <c r="M637" s="5"/>
      <c r="N637" s="112"/>
      <c r="R637" s="333"/>
      <c r="S637" s="5"/>
      <c r="T637" s="112"/>
      <c r="X637" s="333"/>
      <c r="Y637" s="5"/>
      <c r="AD637" s="333"/>
      <c r="AE637" s="5"/>
      <c r="AJ637" s="333"/>
      <c r="AK637" s="5"/>
      <c r="AP637" s="333"/>
      <c r="AQ637" s="5"/>
    </row>
    <row r="638" ht="15.75" customHeight="1">
      <c r="C638" s="4"/>
      <c r="D638" s="333"/>
      <c r="E638" s="5"/>
      <c r="F638" s="5"/>
      <c r="G638" s="5"/>
      <c r="H638" s="112"/>
      <c r="L638" s="4"/>
      <c r="M638" s="5"/>
      <c r="N638" s="112"/>
      <c r="R638" s="333"/>
      <c r="S638" s="5"/>
      <c r="T638" s="112"/>
      <c r="X638" s="333"/>
      <c r="Y638" s="5"/>
      <c r="AD638" s="333"/>
      <c r="AE638" s="5"/>
      <c r="AJ638" s="333"/>
      <c r="AK638" s="5"/>
      <c r="AP638" s="333"/>
      <c r="AQ638" s="5"/>
    </row>
    <row r="639" ht="15.75" customHeight="1">
      <c r="C639" s="4"/>
      <c r="D639" s="333"/>
      <c r="E639" s="5"/>
      <c r="F639" s="5"/>
      <c r="G639" s="5"/>
      <c r="H639" s="112"/>
      <c r="L639" s="4"/>
      <c r="M639" s="5"/>
      <c r="N639" s="112"/>
      <c r="R639" s="333"/>
      <c r="S639" s="5"/>
      <c r="T639" s="112"/>
      <c r="X639" s="333"/>
      <c r="Y639" s="5"/>
      <c r="AD639" s="333"/>
      <c r="AE639" s="5"/>
      <c r="AJ639" s="333"/>
      <c r="AK639" s="5"/>
      <c r="AP639" s="333"/>
      <c r="AQ639" s="5"/>
    </row>
    <row r="640" ht="15.75" customHeight="1">
      <c r="C640" s="4"/>
      <c r="D640" s="333"/>
      <c r="E640" s="5"/>
      <c r="F640" s="5"/>
      <c r="G640" s="5"/>
      <c r="H640" s="112"/>
      <c r="L640" s="4"/>
      <c r="M640" s="5"/>
      <c r="N640" s="112"/>
      <c r="R640" s="333"/>
      <c r="S640" s="5"/>
      <c r="T640" s="112"/>
      <c r="X640" s="333"/>
      <c r="Y640" s="5"/>
      <c r="AD640" s="333"/>
      <c r="AE640" s="5"/>
      <c r="AJ640" s="333"/>
      <c r="AK640" s="5"/>
      <c r="AP640" s="333"/>
      <c r="AQ640" s="5"/>
    </row>
    <row r="641" ht="15.75" customHeight="1">
      <c r="C641" s="4"/>
      <c r="D641" s="333"/>
      <c r="E641" s="5"/>
      <c r="F641" s="5"/>
      <c r="G641" s="5"/>
      <c r="H641" s="112"/>
      <c r="L641" s="4"/>
      <c r="M641" s="5"/>
      <c r="N641" s="112"/>
      <c r="R641" s="333"/>
      <c r="S641" s="5"/>
      <c r="T641" s="112"/>
      <c r="X641" s="333"/>
      <c r="Y641" s="5"/>
      <c r="AD641" s="333"/>
      <c r="AE641" s="5"/>
      <c r="AJ641" s="333"/>
      <c r="AK641" s="5"/>
      <c r="AP641" s="333"/>
      <c r="AQ641" s="5"/>
    </row>
    <row r="642" ht="15.75" customHeight="1">
      <c r="C642" s="4"/>
      <c r="D642" s="333"/>
      <c r="E642" s="5"/>
      <c r="F642" s="5"/>
      <c r="G642" s="5"/>
      <c r="H642" s="112"/>
      <c r="L642" s="4"/>
      <c r="M642" s="5"/>
      <c r="N642" s="112"/>
      <c r="R642" s="333"/>
      <c r="S642" s="5"/>
      <c r="T642" s="112"/>
      <c r="X642" s="333"/>
      <c r="Y642" s="5"/>
      <c r="AD642" s="333"/>
      <c r="AE642" s="5"/>
      <c r="AJ642" s="333"/>
      <c r="AK642" s="5"/>
      <c r="AP642" s="333"/>
      <c r="AQ642" s="5"/>
    </row>
    <row r="643" ht="15.75" customHeight="1">
      <c r="C643" s="4"/>
      <c r="D643" s="333"/>
      <c r="E643" s="5"/>
      <c r="F643" s="5"/>
      <c r="G643" s="5"/>
      <c r="H643" s="112"/>
      <c r="L643" s="4"/>
      <c r="M643" s="5"/>
      <c r="N643" s="112"/>
      <c r="R643" s="333"/>
      <c r="S643" s="5"/>
      <c r="T643" s="112"/>
      <c r="X643" s="333"/>
      <c r="Y643" s="5"/>
      <c r="AD643" s="333"/>
      <c r="AE643" s="5"/>
      <c r="AJ643" s="333"/>
      <c r="AK643" s="5"/>
      <c r="AP643" s="333"/>
      <c r="AQ643" s="5"/>
    </row>
    <row r="644" ht="15.75" customHeight="1">
      <c r="C644" s="4"/>
      <c r="D644" s="333"/>
      <c r="E644" s="5"/>
      <c r="F644" s="5"/>
      <c r="G644" s="5"/>
      <c r="H644" s="112"/>
      <c r="L644" s="4"/>
      <c r="M644" s="5"/>
      <c r="N644" s="112"/>
      <c r="R644" s="333"/>
      <c r="S644" s="5"/>
      <c r="T644" s="112"/>
      <c r="X644" s="333"/>
      <c r="Y644" s="5"/>
      <c r="AD644" s="333"/>
      <c r="AE644" s="5"/>
      <c r="AJ644" s="333"/>
      <c r="AK644" s="5"/>
      <c r="AP644" s="333"/>
      <c r="AQ644" s="5"/>
    </row>
    <row r="645" ht="15.75" customHeight="1">
      <c r="C645" s="4"/>
      <c r="D645" s="333"/>
      <c r="E645" s="5"/>
      <c r="F645" s="5"/>
      <c r="G645" s="5"/>
      <c r="H645" s="112"/>
      <c r="L645" s="4"/>
      <c r="M645" s="5"/>
      <c r="N645" s="112"/>
      <c r="R645" s="333"/>
      <c r="S645" s="5"/>
      <c r="T645" s="112"/>
      <c r="X645" s="333"/>
      <c r="Y645" s="5"/>
      <c r="AD645" s="333"/>
      <c r="AE645" s="5"/>
      <c r="AJ645" s="333"/>
      <c r="AK645" s="5"/>
      <c r="AP645" s="333"/>
      <c r="AQ645" s="5"/>
    </row>
    <row r="646" ht="15.75" customHeight="1">
      <c r="C646" s="4"/>
      <c r="D646" s="333"/>
      <c r="E646" s="5"/>
      <c r="F646" s="5"/>
      <c r="G646" s="5"/>
      <c r="H646" s="112"/>
      <c r="L646" s="4"/>
      <c r="M646" s="5"/>
      <c r="N646" s="112"/>
      <c r="R646" s="333"/>
      <c r="S646" s="5"/>
      <c r="T646" s="112"/>
      <c r="X646" s="333"/>
      <c r="Y646" s="5"/>
      <c r="AD646" s="333"/>
      <c r="AE646" s="5"/>
      <c r="AJ646" s="333"/>
      <c r="AK646" s="5"/>
      <c r="AP646" s="333"/>
      <c r="AQ646" s="5"/>
    </row>
    <row r="647" ht="15.75" customHeight="1">
      <c r="C647" s="4"/>
      <c r="D647" s="333"/>
      <c r="E647" s="5"/>
      <c r="F647" s="5"/>
      <c r="G647" s="5"/>
      <c r="H647" s="112"/>
      <c r="L647" s="4"/>
      <c r="M647" s="5"/>
      <c r="N647" s="112"/>
      <c r="R647" s="333"/>
      <c r="S647" s="5"/>
      <c r="T647" s="112"/>
      <c r="X647" s="333"/>
      <c r="Y647" s="5"/>
      <c r="AD647" s="333"/>
      <c r="AE647" s="5"/>
      <c r="AJ647" s="333"/>
      <c r="AK647" s="5"/>
      <c r="AP647" s="333"/>
      <c r="AQ647" s="5"/>
    </row>
    <row r="648" ht="15.75" customHeight="1">
      <c r="C648" s="4"/>
      <c r="D648" s="333"/>
      <c r="E648" s="5"/>
      <c r="F648" s="5"/>
      <c r="G648" s="5"/>
      <c r="H648" s="112"/>
      <c r="L648" s="4"/>
      <c r="M648" s="5"/>
      <c r="N648" s="112"/>
      <c r="R648" s="333"/>
      <c r="S648" s="5"/>
      <c r="T648" s="112"/>
      <c r="X648" s="333"/>
      <c r="Y648" s="5"/>
      <c r="AD648" s="333"/>
      <c r="AE648" s="5"/>
      <c r="AJ648" s="333"/>
      <c r="AK648" s="5"/>
      <c r="AP648" s="333"/>
      <c r="AQ648" s="5"/>
    </row>
    <row r="649" ht="15.75" customHeight="1">
      <c r="C649" s="4"/>
      <c r="D649" s="333"/>
      <c r="E649" s="5"/>
      <c r="F649" s="5"/>
      <c r="G649" s="5"/>
      <c r="H649" s="112"/>
      <c r="L649" s="4"/>
      <c r="M649" s="5"/>
      <c r="N649" s="112"/>
      <c r="R649" s="333"/>
      <c r="S649" s="5"/>
      <c r="T649" s="112"/>
      <c r="X649" s="333"/>
      <c r="Y649" s="5"/>
      <c r="AD649" s="333"/>
      <c r="AE649" s="5"/>
      <c r="AJ649" s="333"/>
      <c r="AK649" s="5"/>
      <c r="AP649" s="333"/>
      <c r="AQ649" s="5"/>
    </row>
    <row r="650" ht="15.75" customHeight="1">
      <c r="C650" s="4"/>
      <c r="D650" s="333"/>
      <c r="E650" s="5"/>
      <c r="F650" s="5"/>
      <c r="G650" s="5"/>
      <c r="H650" s="112"/>
      <c r="L650" s="4"/>
      <c r="M650" s="5"/>
      <c r="N650" s="112"/>
      <c r="R650" s="333"/>
      <c r="S650" s="5"/>
      <c r="T650" s="112"/>
      <c r="X650" s="333"/>
      <c r="Y650" s="5"/>
      <c r="AD650" s="333"/>
      <c r="AE650" s="5"/>
      <c r="AJ650" s="333"/>
      <c r="AK650" s="5"/>
      <c r="AP650" s="333"/>
      <c r="AQ650" s="5"/>
    </row>
    <row r="651" ht="15.75" customHeight="1">
      <c r="C651" s="4"/>
      <c r="D651" s="333"/>
      <c r="E651" s="5"/>
      <c r="F651" s="5"/>
      <c r="G651" s="5"/>
      <c r="H651" s="112"/>
      <c r="L651" s="4"/>
      <c r="M651" s="5"/>
      <c r="N651" s="112"/>
      <c r="R651" s="333"/>
      <c r="S651" s="5"/>
      <c r="T651" s="112"/>
      <c r="X651" s="333"/>
      <c r="Y651" s="5"/>
      <c r="AD651" s="333"/>
      <c r="AE651" s="5"/>
      <c r="AJ651" s="333"/>
      <c r="AK651" s="5"/>
      <c r="AP651" s="333"/>
      <c r="AQ651" s="5"/>
    </row>
    <row r="652" ht="15.75" customHeight="1">
      <c r="C652" s="4"/>
      <c r="D652" s="333"/>
      <c r="E652" s="5"/>
      <c r="F652" s="5"/>
      <c r="G652" s="5"/>
      <c r="H652" s="112"/>
      <c r="L652" s="4"/>
      <c r="M652" s="5"/>
      <c r="N652" s="112"/>
      <c r="R652" s="333"/>
      <c r="S652" s="5"/>
      <c r="T652" s="112"/>
      <c r="X652" s="333"/>
      <c r="Y652" s="5"/>
      <c r="AD652" s="333"/>
      <c r="AE652" s="5"/>
      <c r="AJ652" s="333"/>
      <c r="AK652" s="5"/>
      <c r="AP652" s="333"/>
      <c r="AQ652" s="5"/>
    </row>
    <row r="653" ht="15.75" customHeight="1">
      <c r="C653" s="4"/>
      <c r="D653" s="333"/>
      <c r="E653" s="5"/>
      <c r="F653" s="5"/>
      <c r="G653" s="5"/>
      <c r="H653" s="112"/>
      <c r="L653" s="4"/>
      <c r="M653" s="5"/>
      <c r="N653" s="112"/>
      <c r="R653" s="333"/>
      <c r="S653" s="5"/>
      <c r="T653" s="112"/>
      <c r="X653" s="333"/>
      <c r="Y653" s="5"/>
      <c r="AD653" s="333"/>
      <c r="AE653" s="5"/>
      <c r="AJ653" s="333"/>
      <c r="AK653" s="5"/>
      <c r="AP653" s="333"/>
      <c r="AQ653" s="5"/>
    </row>
    <row r="654" ht="15.75" customHeight="1">
      <c r="C654" s="4"/>
      <c r="D654" s="333"/>
      <c r="E654" s="5"/>
      <c r="F654" s="5"/>
      <c r="G654" s="5"/>
      <c r="H654" s="112"/>
      <c r="L654" s="4"/>
      <c r="M654" s="5"/>
      <c r="N654" s="112"/>
      <c r="R654" s="333"/>
      <c r="S654" s="5"/>
      <c r="T654" s="112"/>
      <c r="X654" s="333"/>
      <c r="Y654" s="5"/>
      <c r="AD654" s="333"/>
      <c r="AE654" s="5"/>
      <c r="AJ654" s="333"/>
      <c r="AK654" s="5"/>
      <c r="AP654" s="333"/>
      <c r="AQ654" s="5"/>
    </row>
    <row r="655" ht="15.75" customHeight="1">
      <c r="C655" s="4"/>
      <c r="D655" s="333"/>
      <c r="E655" s="5"/>
      <c r="F655" s="5"/>
      <c r="G655" s="5"/>
      <c r="H655" s="112"/>
      <c r="L655" s="4"/>
      <c r="M655" s="5"/>
      <c r="N655" s="112"/>
      <c r="R655" s="333"/>
      <c r="S655" s="5"/>
      <c r="T655" s="112"/>
      <c r="X655" s="333"/>
      <c r="Y655" s="5"/>
      <c r="AD655" s="333"/>
      <c r="AE655" s="5"/>
      <c r="AJ655" s="333"/>
      <c r="AK655" s="5"/>
      <c r="AP655" s="333"/>
      <c r="AQ655" s="5"/>
    </row>
    <row r="656" ht="15.75" customHeight="1">
      <c r="C656" s="4"/>
      <c r="D656" s="333"/>
      <c r="E656" s="5"/>
      <c r="F656" s="5"/>
      <c r="G656" s="5"/>
      <c r="H656" s="112"/>
      <c r="L656" s="4"/>
      <c r="M656" s="5"/>
      <c r="N656" s="112"/>
      <c r="R656" s="333"/>
      <c r="S656" s="5"/>
      <c r="T656" s="112"/>
      <c r="X656" s="333"/>
      <c r="Y656" s="5"/>
      <c r="AD656" s="333"/>
      <c r="AE656" s="5"/>
      <c r="AJ656" s="333"/>
      <c r="AK656" s="5"/>
      <c r="AP656" s="333"/>
      <c r="AQ656" s="5"/>
    </row>
    <row r="657" ht="15.75" customHeight="1">
      <c r="C657" s="4"/>
      <c r="D657" s="333"/>
      <c r="E657" s="5"/>
      <c r="F657" s="5"/>
      <c r="G657" s="5"/>
      <c r="H657" s="112"/>
      <c r="L657" s="4"/>
      <c r="M657" s="5"/>
      <c r="N657" s="112"/>
      <c r="R657" s="333"/>
      <c r="S657" s="5"/>
      <c r="T657" s="112"/>
      <c r="X657" s="333"/>
      <c r="Y657" s="5"/>
      <c r="AD657" s="333"/>
      <c r="AE657" s="5"/>
      <c r="AJ657" s="333"/>
      <c r="AK657" s="5"/>
      <c r="AP657" s="333"/>
      <c r="AQ657" s="5"/>
    </row>
    <row r="658" ht="15.75" customHeight="1">
      <c r="C658" s="4"/>
      <c r="D658" s="333"/>
      <c r="E658" s="5"/>
      <c r="F658" s="5"/>
      <c r="G658" s="5"/>
      <c r="H658" s="112"/>
      <c r="L658" s="4"/>
      <c r="M658" s="5"/>
      <c r="N658" s="112"/>
      <c r="R658" s="333"/>
      <c r="S658" s="5"/>
      <c r="T658" s="112"/>
      <c r="X658" s="333"/>
      <c r="Y658" s="5"/>
      <c r="AD658" s="333"/>
      <c r="AE658" s="5"/>
      <c r="AJ658" s="333"/>
      <c r="AK658" s="5"/>
      <c r="AP658" s="333"/>
      <c r="AQ658" s="5"/>
    </row>
    <row r="659" ht="15.75" customHeight="1">
      <c r="C659" s="4"/>
      <c r="D659" s="333"/>
      <c r="E659" s="5"/>
      <c r="F659" s="5"/>
      <c r="G659" s="5"/>
      <c r="H659" s="112"/>
      <c r="L659" s="4"/>
      <c r="M659" s="5"/>
      <c r="N659" s="112"/>
      <c r="R659" s="333"/>
      <c r="S659" s="5"/>
      <c r="T659" s="112"/>
      <c r="X659" s="333"/>
      <c r="Y659" s="5"/>
      <c r="AD659" s="333"/>
      <c r="AE659" s="5"/>
      <c r="AJ659" s="333"/>
      <c r="AK659" s="5"/>
      <c r="AP659" s="333"/>
      <c r="AQ659" s="5"/>
    </row>
    <row r="660" ht="15.75" customHeight="1">
      <c r="C660" s="4"/>
      <c r="D660" s="333"/>
      <c r="E660" s="5"/>
      <c r="F660" s="5"/>
      <c r="G660" s="5"/>
      <c r="H660" s="112"/>
      <c r="L660" s="4"/>
      <c r="M660" s="5"/>
      <c r="N660" s="112"/>
      <c r="R660" s="333"/>
      <c r="S660" s="5"/>
      <c r="T660" s="112"/>
      <c r="X660" s="333"/>
      <c r="Y660" s="5"/>
      <c r="AD660" s="333"/>
      <c r="AE660" s="5"/>
      <c r="AJ660" s="333"/>
      <c r="AK660" s="5"/>
      <c r="AP660" s="333"/>
      <c r="AQ660" s="5"/>
    </row>
    <row r="661" ht="15.75" customHeight="1">
      <c r="C661" s="4"/>
      <c r="D661" s="333"/>
      <c r="E661" s="5"/>
      <c r="F661" s="5"/>
      <c r="G661" s="5"/>
      <c r="H661" s="112"/>
      <c r="L661" s="4"/>
      <c r="M661" s="5"/>
      <c r="N661" s="112"/>
      <c r="R661" s="333"/>
      <c r="S661" s="5"/>
      <c r="T661" s="112"/>
      <c r="X661" s="333"/>
      <c r="Y661" s="5"/>
      <c r="AD661" s="333"/>
      <c r="AE661" s="5"/>
      <c r="AJ661" s="333"/>
      <c r="AK661" s="5"/>
      <c r="AP661" s="333"/>
      <c r="AQ661" s="5"/>
    </row>
    <row r="662" ht="15.75" customHeight="1">
      <c r="C662" s="4"/>
      <c r="D662" s="333"/>
      <c r="E662" s="5"/>
      <c r="F662" s="5"/>
      <c r="G662" s="5"/>
      <c r="H662" s="112"/>
      <c r="L662" s="4"/>
      <c r="M662" s="5"/>
      <c r="N662" s="112"/>
      <c r="R662" s="333"/>
      <c r="S662" s="5"/>
      <c r="T662" s="112"/>
      <c r="X662" s="333"/>
      <c r="Y662" s="5"/>
      <c r="AD662" s="333"/>
      <c r="AE662" s="5"/>
      <c r="AJ662" s="333"/>
      <c r="AK662" s="5"/>
      <c r="AP662" s="333"/>
      <c r="AQ662" s="5"/>
    </row>
    <row r="663" ht="15.75" customHeight="1">
      <c r="C663" s="4"/>
      <c r="D663" s="333"/>
      <c r="E663" s="5"/>
      <c r="F663" s="5"/>
      <c r="G663" s="5"/>
      <c r="H663" s="112"/>
      <c r="L663" s="4"/>
      <c r="M663" s="5"/>
      <c r="N663" s="112"/>
      <c r="R663" s="333"/>
      <c r="S663" s="5"/>
      <c r="T663" s="112"/>
      <c r="X663" s="333"/>
      <c r="Y663" s="5"/>
      <c r="AD663" s="333"/>
      <c r="AE663" s="5"/>
      <c r="AJ663" s="333"/>
      <c r="AK663" s="5"/>
      <c r="AP663" s="333"/>
      <c r="AQ663" s="5"/>
    </row>
    <row r="664" ht="15.75" customHeight="1">
      <c r="C664" s="4"/>
      <c r="D664" s="333"/>
      <c r="E664" s="5"/>
      <c r="F664" s="5"/>
      <c r="G664" s="5"/>
      <c r="H664" s="112"/>
      <c r="L664" s="4"/>
      <c r="M664" s="5"/>
      <c r="N664" s="112"/>
      <c r="R664" s="333"/>
      <c r="S664" s="5"/>
      <c r="T664" s="112"/>
      <c r="X664" s="333"/>
      <c r="Y664" s="5"/>
      <c r="AD664" s="333"/>
      <c r="AE664" s="5"/>
      <c r="AJ664" s="333"/>
      <c r="AK664" s="5"/>
      <c r="AP664" s="333"/>
      <c r="AQ664" s="5"/>
    </row>
    <row r="665" ht="15.75" customHeight="1">
      <c r="C665" s="4"/>
      <c r="D665" s="333"/>
      <c r="E665" s="5"/>
      <c r="F665" s="5"/>
      <c r="G665" s="5"/>
      <c r="H665" s="112"/>
      <c r="L665" s="4"/>
      <c r="M665" s="5"/>
      <c r="N665" s="112"/>
      <c r="R665" s="333"/>
      <c r="S665" s="5"/>
      <c r="T665" s="112"/>
      <c r="X665" s="333"/>
      <c r="Y665" s="5"/>
      <c r="AD665" s="333"/>
      <c r="AE665" s="5"/>
      <c r="AJ665" s="333"/>
      <c r="AK665" s="5"/>
      <c r="AP665" s="333"/>
      <c r="AQ665" s="5"/>
    </row>
    <row r="666" ht="15.75" customHeight="1">
      <c r="C666" s="4"/>
      <c r="D666" s="333"/>
      <c r="E666" s="5"/>
      <c r="F666" s="5"/>
      <c r="G666" s="5"/>
      <c r="H666" s="112"/>
      <c r="L666" s="4"/>
      <c r="M666" s="5"/>
      <c r="N666" s="112"/>
      <c r="R666" s="333"/>
      <c r="S666" s="5"/>
      <c r="T666" s="112"/>
      <c r="X666" s="333"/>
      <c r="Y666" s="5"/>
      <c r="AD666" s="333"/>
      <c r="AE666" s="5"/>
      <c r="AJ666" s="333"/>
      <c r="AK666" s="5"/>
      <c r="AP666" s="333"/>
      <c r="AQ666" s="5"/>
    </row>
    <row r="667" ht="15.75" customHeight="1">
      <c r="C667" s="4"/>
      <c r="D667" s="333"/>
      <c r="E667" s="5"/>
      <c r="F667" s="5"/>
      <c r="G667" s="5"/>
      <c r="H667" s="112"/>
      <c r="L667" s="4"/>
      <c r="M667" s="5"/>
      <c r="N667" s="112"/>
      <c r="R667" s="333"/>
      <c r="S667" s="5"/>
      <c r="T667" s="112"/>
      <c r="X667" s="333"/>
      <c r="Y667" s="5"/>
      <c r="AD667" s="333"/>
      <c r="AE667" s="5"/>
      <c r="AJ667" s="333"/>
      <c r="AK667" s="5"/>
      <c r="AP667" s="333"/>
      <c r="AQ667" s="5"/>
    </row>
    <row r="668" ht="15.75" customHeight="1">
      <c r="C668" s="4"/>
      <c r="D668" s="333"/>
      <c r="E668" s="5"/>
      <c r="F668" s="5"/>
      <c r="G668" s="5"/>
      <c r="H668" s="112"/>
      <c r="L668" s="4"/>
      <c r="M668" s="5"/>
      <c r="N668" s="112"/>
      <c r="R668" s="333"/>
      <c r="S668" s="5"/>
      <c r="T668" s="112"/>
      <c r="X668" s="333"/>
      <c r="Y668" s="5"/>
      <c r="AD668" s="333"/>
      <c r="AE668" s="5"/>
      <c r="AJ668" s="333"/>
      <c r="AK668" s="5"/>
      <c r="AP668" s="333"/>
      <c r="AQ668" s="5"/>
    </row>
    <row r="669" ht="15.75" customHeight="1">
      <c r="C669" s="4"/>
      <c r="D669" s="333"/>
      <c r="E669" s="5"/>
      <c r="F669" s="5"/>
      <c r="G669" s="5"/>
      <c r="H669" s="112"/>
      <c r="L669" s="4"/>
      <c r="M669" s="5"/>
      <c r="N669" s="112"/>
      <c r="R669" s="333"/>
      <c r="S669" s="5"/>
      <c r="T669" s="112"/>
      <c r="X669" s="333"/>
      <c r="Y669" s="5"/>
      <c r="AD669" s="333"/>
      <c r="AE669" s="5"/>
      <c r="AJ669" s="333"/>
      <c r="AK669" s="5"/>
      <c r="AP669" s="333"/>
      <c r="AQ669" s="5"/>
    </row>
    <row r="670" ht="15.75" customHeight="1">
      <c r="C670" s="4"/>
      <c r="D670" s="333"/>
      <c r="E670" s="5"/>
      <c r="F670" s="5"/>
      <c r="G670" s="5"/>
      <c r="H670" s="112"/>
      <c r="L670" s="4"/>
      <c r="M670" s="5"/>
      <c r="N670" s="112"/>
      <c r="R670" s="333"/>
      <c r="S670" s="5"/>
      <c r="T670" s="112"/>
      <c r="X670" s="333"/>
      <c r="Y670" s="5"/>
      <c r="AD670" s="333"/>
      <c r="AE670" s="5"/>
      <c r="AJ670" s="333"/>
      <c r="AK670" s="5"/>
      <c r="AP670" s="333"/>
      <c r="AQ670" s="5"/>
    </row>
    <row r="671" ht="15.75" customHeight="1">
      <c r="C671" s="4"/>
      <c r="D671" s="333"/>
      <c r="E671" s="5"/>
      <c r="F671" s="5"/>
      <c r="G671" s="5"/>
      <c r="H671" s="112"/>
      <c r="L671" s="4"/>
      <c r="M671" s="5"/>
      <c r="N671" s="112"/>
      <c r="R671" s="333"/>
      <c r="S671" s="5"/>
      <c r="T671" s="112"/>
      <c r="X671" s="333"/>
      <c r="Y671" s="5"/>
      <c r="AD671" s="333"/>
      <c r="AE671" s="5"/>
      <c r="AJ671" s="333"/>
      <c r="AK671" s="5"/>
      <c r="AP671" s="333"/>
      <c r="AQ671" s="5"/>
    </row>
    <row r="672" ht="15.75" customHeight="1">
      <c r="C672" s="4"/>
      <c r="D672" s="333"/>
      <c r="E672" s="5"/>
      <c r="F672" s="5"/>
      <c r="G672" s="5"/>
      <c r="H672" s="112"/>
      <c r="L672" s="4"/>
      <c r="M672" s="5"/>
      <c r="N672" s="112"/>
      <c r="R672" s="333"/>
      <c r="S672" s="5"/>
      <c r="T672" s="112"/>
      <c r="X672" s="333"/>
      <c r="Y672" s="5"/>
      <c r="AD672" s="333"/>
      <c r="AE672" s="5"/>
      <c r="AJ672" s="333"/>
      <c r="AK672" s="5"/>
      <c r="AP672" s="333"/>
      <c r="AQ672" s="5"/>
    </row>
    <row r="673" ht="15.75" customHeight="1">
      <c r="C673" s="4"/>
      <c r="D673" s="333"/>
      <c r="E673" s="5"/>
      <c r="F673" s="5"/>
      <c r="G673" s="5"/>
      <c r="H673" s="112"/>
      <c r="L673" s="4"/>
      <c r="M673" s="5"/>
      <c r="N673" s="112"/>
      <c r="R673" s="333"/>
      <c r="S673" s="5"/>
      <c r="T673" s="112"/>
      <c r="X673" s="333"/>
      <c r="Y673" s="5"/>
      <c r="AD673" s="333"/>
      <c r="AE673" s="5"/>
      <c r="AJ673" s="333"/>
      <c r="AK673" s="5"/>
      <c r="AP673" s="333"/>
      <c r="AQ673" s="5"/>
    </row>
    <row r="674" ht="15.75" customHeight="1">
      <c r="C674" s="4"/>
      <c r="D674" s="333"/>
      <c r="E674" s="5"/>
      <c r="F674" s="5"/>
      <c r="G674" s="5"/>
      <c r="H674" s="112"/>
      <c r="L674" s="4"/>
      <c r="M674" s="5"/>
      <c r="N674" s="112"/>
      <c r="R674" s="333"/>
      <c r="S674" s="5"/>
      <c r="T674" s="112"/>
      <c r="X674" s="333"/>
      <c r="Y674" s="5"/>
      <c r="AD674" s="333"/>
      <c r="AE674" s="5"/>
      <c r="AJ674" s="333"/>
      <c r="AK674" s="5"/>
      <c r="AP674" s="333"/>
      <c r="AQ674" s="5"/>
    </row>
    <row r="675" ht="15.75" customHeight="1">
      <c r="C675" s="4"/>
      <c r="D675" s="333"/>
      <c r="E675" s="5"/>
      <c r="F675" s="5"/>
      <c r="G675" s="5"/>
      <c r="H675" s="112"/>
      <c r="L675" s="4"/>
      <c r="M675" s="5"/>
      <c r="N675" s="112"/>
      <c r="R675" s="333"/>
      <c r="S675" s="5"/>
      <c r="T675" s="112"/>
      <c r="X675" s="333"/>
      <c r="Y675" s="5"/>
      <c r="AD675" s="333"/>
      <c r="AE675" s="5"/>
      <c r="AJ675" s="333"/>
      <c r="AK675" s="5"/>
      <c r="AP675" s="333"/>
      <c r="AQ675" s="5"/>
    </row>
    <row r="676" ht="15.75" customHeight="1">
      <c r="C676" s="4"/>
      <c r="D676" s="333"/>
      <c r="E676" s="5"/>
      <c r="F676" s="5"/>
      <c r="G676" s="5"/>
      <c r="H676" s="112"/>
      <c r="L676" s="4"/>
      <c r="M676" s="5"/>
      <c r="N676" s="112"/>
      <c r="R676" s="333"/>
      <c r="S676" s="5"/>
      <c r="T676" s="112"/>
      <c r="X676" s="333"/>
      <c r="Y676" s="5"/>
      <c r="AD676" s="333"/>
      <c r="AE676" s="5"/>
      <c r="AJ676" s="333"/>
      <c r="AK676" s="5"/>
      <c r="AP676" s="333"/>
      <c r="AQ676" s="5"/>
    </row>
    <row r="677" ht="15.75" customHeight="1">
      <c r="C677" s="4"/>
      <c r="D677" s="333"/>
      <c r="E677" s="5"/>
      <c r="F677" s="5"/>
      <c r="G677" s="5"/>
      <c r="H677" s="112"/>
      <c r="L677" s="4"/>
      <c r="M677" s="5"/>
      <c r="N677" s="112"/>
      <c r="R677" s="333"/>
      <c r="S677" s="5"/>
      <c r="T677" s="112"/>
      <c r="X677" s="333"/>
      <c r="Y677" s="5"/>
      <c r="AD677" s="333"/>
      <c r="AE677" s="5"/>
      <c r="AJ677" s="333"/>
      <c r="AK677" s="5"/>
      <c r="AP677" s="333"/>
      <c r="AQ677" s="5"/>
    </row>
    <row r="678" ht="15.75" customHeight="1">
      <c r="C678" s="4"/>
      <c r="D678" s="333"/>
      <c r="E678" s="5"/>
      <c r="F678" s="5"/>
      <c r="G678" s="5"/>
      <c r="H678" s="112"/>
      <c r="L678" s="4"/>
      <c r="M678" s="5"/>
      <c r="N678" s="112"/>
      <c r="R678" s="333"/>
      <c r="S678" s="5"/>
      <c r="T678" s="112"/>
      <c r="X678" s="333"/>
      <c r="Y678" s="5"/>
      <c r="AD678" s="333"/>
      <c r="AE678" s="5"/>
      <c r="AJ678" s="333"/>
      <c r="AK678" s="5"/>
      <c r="AP678" s="333"/>
      <c r="AQ678" s="5"/>
    </row>
    <row r="679" ht="15.75" customHeight="1">
      <c r="C679" s="4"/>
      <c r="D679" s="333"/>
      <c r="E679" s="5"/>
      <c r="F679" s="5"/>
      <c r="G679" s="5"/>
      <c r="H679" s="112"/>
      <c r="L679" s="4"/>
      <c r="M679" s="5"/>
      <c r="N679" s="112"/>
      <c r="R679" s="333"/>
      <c r="S679" s="5"/>
      <c r="T679" s="112"/>
      <c r="X679" s="333"/>
      <c r="Y679" s="5"/>
      <c r="AD679" s="333"/>
      <c r="AE679" s="5"/>
      <c r="AJ679" s="333"/>
      <c r="AK679" s="5"/>
      <c r="AP679" s="333"/>
      <c r="AQ679" s="5"/>
    </row>
    <row r="680" ht="15.75" customHeight="1">
      <c r="C680" s="4"/>
      <c r="D680" s="333"/>
      <c r="E680" s="5"/>
      <c r="F680" s="5"/>
      <c r="G680" s="5"/>
      <c r="H680" s="112"/>
      <c r="L680" s="4"/>
      <c r="M680" s="5"/>
      <c r="N680" s="112"/>
      <c r="R680" s="333"/>
      <c r="S680" s="5"/>
      <c r="T680" s="112"/>
      <c r="X680" s="333"/>
      <c r="Y680" s="5"/>
      <c r="AD680" s="333"/>
      <c r="AE680" s="5"/>
      <c r="AJ680" s="333"/>
      <c r="AK680" s="5"/>
      <c r="AP680" s="333"/>
      <c r="AQ680" s="5"/>
    </row>
    <row r="681" ht="15.75" customHeight="1">
      <c r="C681" s="4"/>
      <c r="D681" s="333"/>
      <c r="E681" s="5"/>
      <c r="F681" s="5"/>
      <c r="G681" s="5"/>
      <c r="H681" s="112"/>
      <c r="L681" s="4"/>
      <c r="M681" s="5"/>
      <c r="N681" s="112"/>
      <c r="R681" s="333"/>
      <c r="S681" s="5"/>
      <c r="T681" s="112"/>
      <c r="X681" s="333"/>
      <c r="Y681" s="5"/>
      <c r="AD681" s="333"/>
      <c r="AE681" s="5"/>
      <c r="AJ681" s="333"/>
      <c r="AK681" s="5"/>
      <c r="AP681" s="333"/>
      <c r="AQ681" s="5"/>
    </row>
    <row r="682" ht="15.75" customHeight="1">
      <c r="C682" s="4"/>
      <c r="D682" s="333"/>
      <c r="E682" s="5"/>
      <c r="F682" s="5"/>
      <c r="G682" s="5"/>
      <c r="H682" s="112"/>
      <c r="L682" s="4"/>
      <c r="M682" s="5"/>
      <c r="N682" s="112"/>
      <c r="R682" s="333"/>
      <c r="S682" s="5"/>
      <c r="T682" s="112"/>
      <c r="X682" s="333"/>
      <c r="Y682" s="5"/>
      <c r="AD682" s="333"/>
      <c r="AE682" s="5"/>
      <c r="AJ682" s="333"/>
      <c r="AK682" s="5"/>
      <c r="AP682" s="333"/>
      <c r="AQ682" s="5"/>
    </row>
    <row r="683" ht="15.75" customHeight="1">
      <c r="C683" s="4"/>
      <c r="D683" s="333"/>
      <c r="E683" s="5"/>
      <c r="F683" s="5"/>
      <c r="G683" s="5"/>
      <c r="H683" s="112"/>
      <c r="L683" s="4"/>
      <c r="M683" s="5"/>
      <c r="N683" s="112"/>
      <c r="R683" s="333"/>
      <c r="S683" s="5"/>
      <c r="T683" s="112"/>
      <c r="X683" s="333"/>
      <c r="Y683" s="5"/>
      <c r="AD683" s="333"/>
      <c r="AE683" s="5"/>
      <c r="AJ683" s="333"/>
      <c r="AK683" s="5"/>
      <c r="AP683" s="333"/>
      <c r="AQ683" s="5"/>
    </row>
    <row r="684" ht="15.75" customHeight="1">
      <c r="C684" s="4"/>
      <c r="D684" s="333"/>
      <c r="E684" s="5"/>
      <c r="F684" s="5"/>
      <c r="G684" s="5"/>
      <c r="H684" s="112"/>
      <c r="L684" s="4"/>
      <c r="M684" s="5"/>
      <c r="N684" s="112"/>
      <c r="R684" s="333"/>
      <c r="S684" s="5"/>
      <c r="T684" s="112"/>
      <c r="X684" s="333"/>
      <c r="Y684" s="5"/>
      <c r="AD684" s="333"/>
      <c r="AE684" s="5"/>
      <c r="AJ684" s="333"/>
      <c r="AK684" s="5"/>
      <c r="AP684" s="333"/>
      <c r="AQ684" s="5"/>
    </row>
    <row r="685" ht="15.75" customHeight="1">
      <c r="C685" s="4"/>
      <c r="D685" s="333"/>
      <c r="E685" s="5"/>
      <c r="F685" s="5"/>
      <c r="G685" s="5"/>
      <c r="H685" s="112"/>
      <c r="L685" s="4"/>
      <c r="M685" s="5"/>
      <c r="N685" s="112"/>
      <c r="R685" s="333"/>
      <c r="S685" s="5"/>
      <c r="T685" s="112"/>
      <c r="X685" s="333"/>
      <c r="Y685" s="5"/>
      <c r="AD685" s="333"/>
      <c r="AE685" s="5"/>
      <c r="AJ685" s="333"/>
      <c r="AK685" s="5"/>
      <c r="AP685" s="333"/>
      <c r="AQ685" s="5"/>
    </row>
    <row r="686" ht="15.75" customHeight="1">
      <c r="C686" s="4"/>
      <c r="D686" s="333"/>
      <c r="E686" s="5"/>
      <c r="F686" s="5"/>
      <c r="G686" s="5"/>
      <c r="H686" s="112"/>
      <c r="L686" s="4"/>
      <c r="M686" s="5"/>
      <c r="N686" s="112"/>
      <c r="R686" s="333"/>
      <c r="S686" s="5"/>
      <c r="T686" s="112"/>
      <c r="X686" s="333"/>
      <c r="Y686" s="5"/>
      <c r="AD686" s="333"/>
      <c r="AE686" s="5"/>
      <c r="AJ686" s="333"/>
      <c r="AK686" s="5"/>
      <c r="AP686" s="333"/>
      <c r="AQ686" s="5"/>
    </row>
    <row r="687" ht="15.75" customHeight="1">
      <c r="C687" s="4"/>
      <c r="D687" s="333"/>
      <c r="E687" s="5"/>
      <c r="F687" s="5"/>
      <c r="G687" s="5"/>
      <c r="H687" s="112"/>
      <c r="L687" s="4"/>
      <c r="M687" s="5"/>
      <c r="N687" s="112"/>
      <c r="R687" s="333"/>
      <c r="S687" s="5"/>
      <c r="T687" s="112"/>
      <c r="X687" s="333"/>
      <c r="Y687" s="5"/>
      <c r="AD687" s="333"/>
      <c r="AE687" s="5"/>
      <c r="AJ687" s="333"/>
      <c r="AK687" s="5"/>
      <c r="AP687" s="333"/>
      <c r="AQ687" s="5"/>
    </row>
    <row r="688" ht="15.75" customHeight="1">
      <c r="C688" s="4"/>
      <c r="D688" s="333"/>
      <c r="E688" s="5"/>
      <c r="F688" s="5"/>
      <c r="G688" s="5"/>
      <c r="H688" s="112"/>
      <c r="L688" s="4"/>
      <c r="M688" s="5"/>
      <c r="N688" s="112"/>
      <c r="R688" s="333"/>
      <c r="S688" s="5"/>
      <c r="T688" s="112"/>
      <c r="X688" s="333"/>
      <c r="Y688" s="5"/>
      <c r="AD688" s="333"/>
      <c r="AE688" s="5"/>
      <c r="AJ688" s="333"/>
      <c r="AK688" s="5"/>
      <c r="AP688" s="333"/>
      <c r="AQ688" s="5"/>
    </row>
    <row r="689" ht="15.75" customHeight="1">
      <c r="C689" s="4"/>
      <c r="D689" s="333"/>
      <c r="E689" s="5"/>
      <c r="F689" s="5"/>
      <c r="G689" s="5"/>
      <c r="H689" s="112"/>
      <c r="L689" s="4"/>
      <c r="M689" s="5"/>
      <c r="N689" s="112"/>
      <c r="R689" s="333"/>
      <c r="S689" s="5"/>
      <c r="T689" s="112"/>
      <c r="X689" s="333"/>
      <c r="Y689" s="5"/>
      <c r="AD689" s="333"/>
      <c r="AE689" s="5"/>
      <c r="AJ689" s="333"/>
      <c r="AK689" s="5"/>
      <c r="AP689" s="333"/>
      <c r="AQ689" s="5"/>
    </row>
    <row r="690" ht="15.75" customHeight="1">
      <c r="C690" s="4"/>
      <c r="D690" s="333"/>
      <c r="E690" s="5"/>
      <c r="F690" s="5"/>
      <c r="G690" s="5"/>
      <c r="H690" s="112"/>
      <c r="L690" s="4"/>
      <c r="M690" s="5"/>
      <c r="N690" s="112"/>
      <c r="R690" s="333"/>
      <c r="S690" s="5"/>
      <c r="T690" s="112"/>
      <c r="X690" s="333"/>
      <c r="Y690" s="5"/>
      <c r="AD690" s="333"/>
      <c r="AE690" s="5"/>
      <c r="AJ690" s="333"/>
      <c r="AK690" s="5"/>
      <c r="AP690" s="333"/>
      <c r="AQ690" s="5"/>
    </row>
    <row r="691" ht="15.75" customHeight="1">
      <c r="C691" s="4"/>
      <c r="D691" s="333"/>
      <c r="E691" s="5"/>
      <c r="F691" s="5"/>
      <c r="G691" s="5"/>
      <c r="H691" s="112"/>
      <c r="L691" s="4"/>
      <c r="M691" s="5"/>
      <c r="N691" s="112"/>
      <c r="R691" s="333"/>
      <c r="S691" s="5"/>
      <c r="T691" s="112"/>
      <c r="X691" s="333"/>
      <c r="Y691" s="5"/>
      <c r="AD691" s="333"/>
      <c r="AE691" s="5"/>
      <c r="AJ691" s="333"/>
      <c r="AK691" s="5"/>
      <c r="AP691" s="333"/>
      <c r="AQ691" s="5"/>
    </row>
    <row r="692" ht="15.75" customHeight="1">
      <c r="C692" s="4"/>
      <c r="D692" s="333"/>
      <c r="E692" s="5"/>
      <c r="F692" s="5"/>
      <c r="G692" s="5"/>
      <c r="H692" s="112"/>
      <c r="L692" s="4"/>
      <c r="M692" s="5"/>
      <c r="N692" s="112"/>
      <c r="R692" s="333"/>
      <c r="S692" s="5"/>
      <c r="T692" s="112"/>
      <c r="X692" s="333"/>
      <c r="Y692" s="5"/>
      <c r="AD692" s="333"/>
      <c r="AE692" s="5"/>
      <c r="AJ692" s="333"/>
      <c r="AK692" s="5"/>
      <c r="AP692" s="333"/>
      <c r="AQ692" s="5"/>
    </row>
    <row r="693" ht="15.75" customHeight="1">
      <c r="C693" s="4"/>
      <c r="D693" s="333"/>
      <c r="E693" s="5"/>
      <c r="F693" s="5"/>
      <c r="G693" s="5"/>
      <c r="H693" s="112"/>
      <c r="L693" s="4"/>
      <c r="M693" s="5"/>
      <c r="N693" s="112"/>
      <c r="R693" s="333"/>
      <c r="S693" s="5"/>
      <c r="T693" s="112"/>
      <c r="X693" s="333"/>
      <c r="Y693" s="5"/>
      <c r="AD693" s="333"/>
      <c r="AE693" s="5"/>
      <c r="AJ693" s="333"/>
      <c r="AK693" s="5"/>
      <c r="AP693" s="333"/>
      <c r="AQ693" s="5"/>
    </row>
    <row r="694" ht="15.75" customHeight="1">
      <c r="C694" s="4"/>
      <c r="D694" s="333"/>
      <c r="E694" s="5"/>
      <c r="F694" s="5"/>
      <c r="G694" s="5"/>
      <c r="H694" s="112"/>
      <c r="L694" s="4"/>
      <c r="M694" s="5"/>
      <c r="N694" s="112"/>
      <c r="R694" s="333"/>
      <c r="S694" s="5"/>
      <c r="T694" s="112"/>
      <c r="X694" s="333"/>
      <c r="Y694" s="5"/>
      <c r="AD694" s="333"/>
      <c r="AE694" s="5"/>
      <c r="AJ694" s="333"/>
      <c r="AK694" s="5"/>
      <c r="AP694" s="333"/>
      <c r="AQ694" s="5"/>
    </row>
    <row r="695" ht="15.75" customHeight="1">
      <c r="C695" s="4"/>
      <c r="D695" s="333"/>
      <c r="E695" s="5"/>
      <c r="F695" s="5"/>
      <c r="G695" s="5"/>
      <c r="H695" s="112"/>
      <c r="L695" s="4"/>
      <c r="M695" s="5"/>
      <c r="N695" s="112"/>
      <c r="R695" s="333"/>
      <c r="S695" s="5"/>
      <c r="T695" s="112"/>
      <c r="X695" s="333"/>
      <c r="Y695" s="5"/>
      <c r="AD695" s="333"/>
      <c r="AE695" s="5"/>
      <c r="AJ695" s="333"/>
      <c r="AK695" s="5"/>
      <c r="AP695" s="333"/>
      <c r="AQ695" s="5"/>
    </row>
    <row r="696" ht="15.75" customHeight="1">
      <c r="C696" s="4"/>
      <c r="D696" s="333"/>
      <c r="E696" s="5"/>
      <c r="F696" s="5"/>
      <c r="G696" s="5"/>
      <c r="H696" s="112"/>
      <c r="L696" s="4"/>
      <c r="M696" s="5"/>
      <c r="N696" s="112"/>
      <c r="R696" s="333"/>
      <c r="S696" s="5"/>
      <c r="T696" s="112"/>
      <c r="X696" s="333"/>
      <c r="Y696" s="5"/>
      <c r="AD696" s="333"/>
      <c r="AE696" s="5"/>
      <c r="AJ696" s="333"/>
      <c r="AK696" s="5"/>
      <c r="AP696" s="333"/>
      <c r="AQ696" s="5"/>
    </row>
    <row r="697" ht="15.75" customHeight="1">
      <c r="C697" s="4"/>
      <c r="D697" s="333"/>
      <c r="E697" s="5"/>
      <c r="F697" s="5"/>
      <c r="G697" s="5"/>
      <c r="H697" s="112"/>
      <c r="L697" s="4"/>
      <c r="M697" s="5"/>
      <c r="N697" s="112"/>
      <c r="R697" s="333"/>
      <c r="S697" s="5"/>
      <c r="T697" s="112"/>
      <c r="X697" s="333"/>
      <c r="Y697" s="5"/>
      <c r="AD697" s="333"/>
      <c r="AE697" s="5"/>
      <c r="AJ697" s="333"/>
      <c r="AK697" s="5"/>
      <c r="AP697" s="333"/>
      <c r="AQ697" s="5"/>
    </row>
    <row r="698" ht="15.75" customHeight="1">
      <c r="C698" s="4"/>
      <c r="D698" s="333"/>
      <c r="E698" s="5"/>
      <c r="F698" s="5"/>
      <c r="G698" s="5"/>
      <c r="H698" s="112"/>
      <c r="L698" s="4"/>
      <c r="M698" s="5"/>
      <c r="N698" s="112"/>
      <c r="R698" s="333"/>
      <c r="S698" s="5"/>
      <c r="T698" s="112"/>
      <c r="X698" s="333"/>
      <c r="Y698" s="5"/>
      <c r="AD698" s="333"/>
      <c r="AE698" s="5"/>
      <c r="AJ698" s="333"/>
      <c r="AK698" s="5"/>
      <c r="AP698" s="333"/>
      <c r="AQ698" s="5"/>
    </row>
    <row r="699" ht="15.75" customHeight="1">
      <c r="C699" s="4"/>
      <c r="D699" s="333"/>
      <c r="E699" s="5"/>
      <c r="F699" s="5"/>
      <c r="G699" s="5"/>
      <c r="H699" s="112"/>
      <c r="L699" s="4"/>
      <c r="M699" s="5"/>
      <c r="N699" s="112"/>
      <c r="R699" s="333"/>
      <c r="S699" s="5"/>
      <c r="T699" s="112"/>
      <c r="X699" s="333"/>
      <c r="Y699" s="5"/>
      <c r="AD699" s="333"/>
      <c r="AE699" s="5"/>
      <c r="AJ699" s="333"/>
      <c r="AK699" s="5"/>
      <c r="AP699" s="333"/>
      <c r="AQ699" s="5"/>
    </row>
    <row r="700" ht="15.75" customHeight="1">
      <c r="C700" s="4"/>
      <c r="D700" s="333"/>
      <c r="E700" s="5"/>
      <c r="F700" s="5"/>
      <c r="G700" s="5"/>
      <c r="H700" s="112"/>
      <c r="L700" s="4"/>
      <c r="M700" s="5"/>
      <c r="N700" s="112"/>
      <c r="R700" s="333"/>
      <c r="S700" s="5"/>
      <c r="T700" s="112"/>
      <c r="X700" s="333"/>
      <c r="Y700" s="5"/>
      <c r="AD700" s="333"/>
      <c r="AE700" s="5"/>
      <c r="AJ700" s="333"/>
      <c r="AK700" s="5"/>
      <c r="AP700" s="333"/>
      <c r="AQ700" s="5"/>
    </row>
    <row r="701" ht="15.75" customHeight="1">
      <c r="C701" s="4"/>
      <c r="D701" s="333"/>
      <c r="E701" s="5"/>
      <c r="F701" s="5"/>
      <c r="G701" s="5"/>
      <c r="H701" s="112"/>
      <c r="L701" s="4"/>
      <c r="M701" s="5"/>
      <c r="N701" s="112"/>
      <c r="R701" s="333"/>
      <c r="S701" s="5"/>
      <c r="T701" s="112"/>
      <c r="X701" s="333"/>
      <c r="Y701" s="5"/>
      <c r="AD701" s="333"/>
      <c r="AE701" s="5"/>
      <c r="AJ701" s="333"/>
      <c r="AK701" s="5"/>
      <c r="AP701" s="333"/>
      <c r="AQ701" s="5"/>
    </row>
    <row r="702" ht="15.75" customHeight="1">
      <c r="C702" s="4"/>
      <c r="D702" s="333"/>
      <c r="E702" s="5"/>
      <c r="F702" s="5"/>
      <c r="G702" s="5"/>
      <c r="H702" s="112"/>
      <c r="L702" s="4"/>
      <c r="M702" s="5"/>
      <c r="N702" s="112"/>
      <c r="R702" s="333"/>
      <c r="S702" s="5"/>
      <c r="T702" s="112"/>
      <c r="X702" s="333"/>
      <c r="Y702" s="5"/>
      <c r="AD702" s="333"/>
      <c r="AE702" s="5"/>
      <c r="AJ702" s="333"/>
      <c r="AK702" s="5"/>
      <c r="AP702" s="333"/>
      <c r="AQ702" s="5"/>
    </row>
    <row r="703" ht="15.75" customHeight="1">
      <c r="C703" s="4"/>
      <c r="D703" s="333"/>
      <c r="E703" s="5"/>
      <c r="F703" s="5"/>
      <c r="G703" s="5"/>
      <c r="H703" s="112"/>
      <c r="L703" s="4"/>
      <c r="M703" s="5"/>
      <c r="N703" s="112"/>
      <c r="R703" s="333"/>
      <c r="S703" s="5"/>
      <c r="T703" s="112"/>
      <c r="X703" s="333"/>
      <c r="Y703" s="5"/>
      <c r="AD703" s="333"/>
      <c r="AE703" s="5"/>
      <c r="AJ703" s="333"/>
      <c r="AK703" s="5"/>
      <c r="AP703" s="333"/>
      <c r="AQ703" s="5"/>
    </row>
    <row r="704" ht="15.75" customHeight="1">
      <c r="C704" s="4"/>
      <c r="D704" s="333"/>
      <c r="E704" s="5"/>
      <c r="F704" s="5"/>
      <c r="G704" s="5"/>
      <c r="H704" s="112"/>
      <c r="L704" s="4"/>
      <c r="M704" s="5"/>
      <c r="N704" s="112"/>
      <c r="R704" s="333"/>
      <c r="S704" s="5"/>
      <c r="T704" s="112"/>
      <c r="X704" s="333"/>
      <c r="Y704" s="5"/>
      <c r="AD704" s="333"/>
      <c r="AE704" s="5"/>
      <c r="AJ704" s="333"/>
      <c r="AK704" s="5"/>
      <c r="AP704" s="333"/>
      <c r="AQ704" s="5"/>
    </row>
    <row r="705" ht="15.75" customHeight="1">
      <c r="C705" s="4"/>
      <c r="D705" s="333"/>
      <c r="E705" s="5"/>
      <c r="F705" s="5"/>
      <c r="G705" s="5"/>
      <c r="H705" s="112"/>
      <c r="L705" s="4"/>
      <c r="M705" s="5"/>
      <c r="N705" s="112"/>
      <c r="R705" s="333"/>
      <c r="S705" s="5"/>
      <c r="T705" s="112"/>
      <c r="X705" s="333"/>
      <c r="Y705" s="5"/>
      <c r="AD705" s="333"/>
      <c r="AE705" s="5"/>
      <c r="AJ705" s="333"/>
      <c r="AK705" s="5"/>
      <c r="AP705" s="333"/>
      <c r="AQ705" s="5"/>
    </row>
    <row r="706" ht="15.75" customHeight="1">
      <c r="C706" s="4"/>
      <c r="D706" s="333"/>
      <c r="E706" s="5"/>
      <c r="F706" s="5"/>
      <c r="G706" s="5"/>
      <c r="H706" s="112"/>
      <c r="L706" s="4"/>
      <c r="M706" s="5"/>
      <c r="N706" s="112"/>
      <c r="R706" s="333"/>
      <c r="S706" s="5"/>
      <c r="T706" s="112"/>
      <c r="X706" s="333"/>
      <c r="Y706" s="5"/>
      <c r="AD706" s="333"/>
      <c r="AE706" s="5"/>
      <c r="AJ706" s="333"/>
      <c r="AK706" s="5"/>
      <c r="AP706" s="333"/>
      <c r="AQ706" s="5"/>
    </row>
    <row r="707" ht="15.75" customHeight="1">
      <c r="C707" s="4"/>
      <c r="D707" s="333"/>
      <c r="E707" s="5"/>
      <c r="F707" s="5"/>
      <c r="G707" s="5"/>
      <c r="H707" s="112"/>
      <c r="L707" s="4"/>
      <c r="M707" s="5"/>
      <c r="N707" s="112"/>
      <c r="R707" s="333"/>
      <c r="S707" s="5"/>
      <c r="T707" s="112"/>
      <c r="X707" s="333"/>
      <c r="Y707" s="5"/>
      <c r="AD707" s="333"/>
      <c r="AE707" s="5"/>
      <c r="AJ707" s="333"/>
      <c r="AK707" s="5"/>
      <c r="AP707" s="333"/>
      <c r="AQ707" s="5"/>
    </row>
    <row r="708" ht="15.75" customHeight="1">
      <c r="C708" s="4"/>
      <c r="D708" s="333"/>
      <c r="E708" s="5"/>
      <c r="F708" s="5"/>
      <c r="G708" s="5"/>
      <c r="H708" s="112"/>
      <c r="L708" s="4"/>
      <c r="M708" s="5"/>
      <c r="N708" s="112"/>
      <c r="R708" s="333"/>
      <c r="S708" s="5"/>
      <c r="T708" s="112"/>
      <c r="X708" s="333"/>
      <c r="Y708" s="5"/>
      <c r="AD708" s="333"/>
      <c r="AE708" s="5"/>
      <c r="AJ708" s="333"/>
      <c r="AK708" s="5"/>
      <c r="AP708" s="333"/>
      <c r="AQ708" s="5"/>
    </row>
    <row r="709" ht="15.75" customHeight="1">
      <c r="C709" s="4"/>
      <c r="D709" s="333"/>
      <c r="E709" s="5"/>
      <c r="F709" s="5"/>
      <c r="G709" s="5"/>
      <c r="H709" s="112"/>
      <c r="L709" s="4"/>
      <c r="M709" s="5"/>
      <c r="N709" s="112"/>
      <c r="R709" s="333"/>
      <c r="S709" s="5"/>
      <c r="T709" s="112"/>
      <c r="X709" s="333"/>
      <c r="Y709" s="5"/>
      <c r="AD709" s="333"/>
      <c r="AE709" s="5"/>
      <c r="AJ709" s="333"/>
      <c r="AK709" s="5"/>
      <c r="AP709" s="333"/>
      <c r="AQ709" s="5"/>
    </row>
    <row r="710" ht="15.75" customHeight="1">
      <c r="C710" s="4"/>
      <c r="D710" s="333"/>
      <c r="E710" s="5"/>
      <c r="F710" s="5"/>
      <c r="G710" s="5"/>
      <c r="H710" s="112"/>
      <c r="L710" s="4"/>
      <c r="M710" s="5"/>
      <c r="N710" s="112"/>
      <c r="R710" s="333"/>
      <c r="S710" s="5"/>
      <c r="T710" s="112"/>
      <c r="X710" s="333"/>
      <c r="Y710" s="5"/>
      <c r="AD710" s="333"/>
      <c r="AE710" s="5"/>
      <c r="AJ710" s="333"/>
      <c r="AK710" s="5"/>
      <c r="AP710" s="333"/>
      <c r="AQ710" s="5"/>
    </row>
    <row r="711" ht="15.75" customHeight="1">
      <c r="C711" s="4"/>
      <c r="D711" s="333"/>
      <c r="E711" s="5"/>
      <c r="F711" s="5"/>
      <c r="G711" s="5"/>
      <c r="H711" s="112"/>
      <c r="L711" s="4"/>
      <c r="M711" s="5"/>
      <c r="N711" s="112"/>
      <c r="R711" s="333"/>
      <c r="S711" s="5"/>
      <c r="T711" s="112"/>
      <c r="X711" s="333"/>
      <c r="Y711" s="5"/>
      <c r="AD711" s="333"/>
      <c r="AE711" s="5"/>
      <c r="AJ711" s="333"/>
      <c r="AK711" s="5"/>
      <c r="AP711" s="333"/>
      <c r="AQ711" s="5"/>
    </row>
    <row r="712" ht="15.75" customHeight="1">
      <c r="C712" s="4"/>
      <c r="D712" s="333"/>
      <c r="E712" s="5"/>
      <c r="F712" s="5"/>
      <c r="G712" s="5"/>
      <c r="H712" s="112"/>
      <c r="L712" s="4"/>
      <c r="M712" s="5"/>
      <c r="N712" s="112"/>
      <c r="R712" s="333"/>
      <c r="S712" s="5"/>
      <c r="T712" s="112"/>
      <c r="X712" s="333"/>
      <c r="Y712" s="5"/>
      <c r="AD712" s="333"/>
      <c r="AE712" s="5"/>
      <c r="AJ712" s="333"/>
      <c r="AK712" s="5"/>
      <c r="AP712" s="333"/>
      <c r="AQ712" s="5"/>
    </row>
    <row r="713" ht="15.75" customHeight="1">
      <c r="C713" s="4"/>
      <c r="D713" s="333"/>
      <c r="E713" s="5"/>
      <c r="F713" s="5"/>
      <c r="G713" s="5"/>
      <c r="H713" s="112"/>
      <c r="L713" s="4"/>
      <c r="M713" s="5"/>
      <c r="N713" s="112"/>
      <c r="R713" s="333"/>
      <c r="S713" s="5"/>
      <c r="T713" s="112"/>
      <c r="X713" s="333"/>
      <c r="Y713" s="5"/>
      <c r="AD713" s="333"/>
      <c r="AE713" s="5"/>
      <c r="AJ713" s="333"/>
      <c r="AK713" s="5"/>
      <c r="AP713" s="333"/>
      <c r="AQ713" s="5"/>
    </row>
    <row r="714" ht="15.75" customHeight="1">
      <c r="C714" s="4"/>
      <c r="D714" s="333"/>
      <c r="E714" s="5"/>
      <c r="F714" s="5"/>
      <c r="G714" s="5"/>
      <c r="H714" s="112"/>
      <c r="L714" s="4"/>
      <c r="M714" s="5"/>
      <c r="N714" s="112"/>
      <c r="R714" s="333"/>
      <c r="S714" s="5"/>
      <c r="T714" s="112"/>
      <c r="X714" s="333"/>
      <c r="Y714" s="5"/>
      <c r="AD714" s="333"/>
      <c r="AE714" s="5"/>
      <c r="AJ714" s="333"/>
      <c r="AK714" s="5"/>
      <c r="AP714" s="333"/>
      <c r="AQ714" s="5"/>
    </row>
    <row r="715" ht="15.75" customHeight="1">
      <c r="C715" s="4"/>
      <c r="D715" s="333"/>
      <c r="E715" s="5"/>
      <c r="F715" s="5"/>
      <c r="G715" s="5"/>
      <c r="H715" s="112"/>
      <c r="L715" s="4"/>
      <c r="M715" s="5"/>
      <c r="N715" s="112"/>
      <c r="R715" s="333"/>
      <c r="S715" s="5"/>
      <c r="T715" s="112"/>
      <c r="X715" s="333"/>
      <c r="Y715" s="5"/>
      <c r="AD715" s="333"/>
      <c r="AE715" s="5"/>
      <c r="AJ715" s="333"/>
      <c r="AK715" s="5"/>
      <c r="AP715" s="333"/>
      <c r="AQ715" s="5"/>
    </row>
    <row r="716" ht="15.75" customHeight="1">
      <c r="C716" s="4"/>
      <c r="D716" s="333"/>
      <c r="E716" s="5"/>
      <c r="F716" s="5"/>
      <c r="G716" s="5"/>
      <c r="H716" s="112"/>
      <c r="L716" s="4"/>
      <c r="M716" s="5"/>
      <c r="N716" s="112"/>
      <c r="R716" s="333"/>
      <c r="S716" s="5"/>
      <c r="T716" s="112"/>
      <c r="X716" s="333"/>
      <c r="Y716" s="5"/>
      <c r="AD716" s="333"/>
      <c r="AE716" s="5"/>
      <c r="AJ716" s="333"/>
      <c r="AK716" s="5"/>
      <c r="AP716" s="333"/>
      <c r="AQ716" s="5"/>
    </row>
    <row r="717" ht="15.75" customHeight="1">
      <c r="C717" s="4"/>
      <c r="D717" s="333"/>
      <c r="E717" s="5"/>
      <c r="F717" s="5"/>
      <c r="G717" s="5"/>
      <c r="H717" s="112"/>
      <c r="L717" s="4"/>
      <c r="M717" s="5"/>
      <c r="N717" s="112"/>
      <c r="R717" s="333"/>
      <c r="S717" s="5"/>
      <c r="T717" s="112"/>
      <c r="X717" s="333"/>
      <c r="Y717" s="5"/>
      <c r="AD717" s="333"/>
      <c r="AE717" s="5"/>
      <c r="AJ717" s="333"/>
      <c r="AK717" s="5"/>
      <c r="AP717" s="333"/>
      <c r="AQ717" s="5"/>
    </row>
    <row r="718" ht="15.75" customHeight="1">
      <c r="C718" s="4"/>
      <c r="D718" s="333"/>
      <c r="E718" s="5"/>
      <c r="F718" s="5"/>
      <c r="G718" s="5"/>
      <c r="H718" s="112"/>
      <c r="L718" s="4"/>
      <c r="M718" s="5"/>
      <c r="N718" s="112"/>
      <c r="R718" s="333"/>
      <c r="S718" s="5"/>
      <c r="T718" s="112"/>
      <c r="X718" s="333"/>
      <c r="Y718" s="5"/>
      <c r="AD718" s="333"/>
      <c r="AE718" s="5"/>
      <c r="AJ718" s="333"/>
      <c r="AK718" s="5"/>
      <c r="AP718" s="333"/>
      <c r="AQ718" s="5"/>
    </row>
    <row r="719" ht="15.75" customHeight="1">
      <c r="C719" s="4"/>
      <c r="D719" s="333"/>
      <c r="E719" s="5"/>
      <c r="F719" s="5"/>
      <c r="G719" s="5"/>
      <c r="H719" s="112"/>
      <c r="L719" s="4"/>
      <c r="M719" s="5"/>
      <c r="N719" s="112"/>
      <c r="R719" s="333"/>
      <c r="S719" s="5"/>
      <c r="T719" s="112"/>
      <c r="X719" s="333"/>
      <c r="Y719" s="5"/>
      <c r="AD719" s="333"/>
      <c r="AE719" s="5"/>
      <c r="AJ719" s="333"/>
      <c r="AK719" s="5"/>
      <c r="AP719" s="333"/>
      <c r="AQ719" s="5"/>
    </row>
    <row r="720" ht="15.75" customHeight="1">
      <c r="C720" s="4"/>
      <c r="D720" s="333"/>
      <c r="E720" s="5"/>
      <c r="F720" s="5"/>
      <c r="G720" s="5"/>
      <c r="H720" s="112"/>
      <c r="L720" s="4"/>
      <c r="M720" s="5"/>
      <c r="N720" s="112"/>
      <c r="R720" s="333"/>
      <c r="S720" s="5"/>
      <c r="T720" s="112"/>
      <c r="X720" s="333"/>
      <c r="Y720" s="5"/>
      <c r="AD720" s="333"/>
      <c r="AE720" s="5"/>
      <c r="AJ720" s="333"/>
      <c r="AK720" s="5"/>
      <c r="AP720" s="333"/>
      <c r="AQ720" s="5"/>
    </row>
    <row r="721" ht="15.75" customHeight="1">
      <c r="C721" s="4"/>
      <c r="D721" s="333"/>
      <c r="E721" s="5"/>
      <c r="F721" s="5"/>
      <c r="G721" s="5"/>
      <c r="H721" s="112"/>
      <c r="L721" s="4"/>
      <c r="M721" s="5"/>
      <c r="N721" s="112"/>
      <c r="R721" s="333"/>
      <c r="S721" s="5"/>
      <c r="T721" s="112"/>
      <c r="X721" s="333"/>
      <c r="Y721" s="5"/>
      <c r="AD721" s="333"/>
      <c r="AE721" s="5"/>
      <c r="AJ721" s="333"/>
      <c r="AK721" s="5"/>
      <c r="AP721" s="333"/>
      <c r="AQ721" s="5"/>
    </row>
    <row r="722" ht="15.75" customHeight="1">
      <c r="C722" s="4"/>
      <c r="D722" s="333"/>
      <c r="E722" s="5"/>
      <c r="F722" s="5"/>
      <c r="G722" s="5"/>
      <c r="H722" s="112"/>
      <c r="L722" s="4"/>
      <c r="M722" s="5"/>
      <c r="N722" s="112"/>
      <c r="R722" s="333"/>
      <c r="S722" s="5"/>
      <c r="T722" s="112"/>
      <c r="X722" s="333"/>
      <c r="Y722" s="5"/>
      <c r="AD722" s="333"/>
      <c r="AE722" s="5"/>
      <c r="AJ722" s="333"/>
      <c r="AK722" s="5"/>
      <c r="AP722" s="333"/>
      <c r="AQ722" s="5"/>
    </row>
    <row r="723" ht="15.75" customHeight="1">
      <c r="C723" s="4"/>
      <c r="D723" s="333"/>
      <c r="E723" s="5"/>
      <c r="F723" s="5"/>
      <c r="G723" s="5"/>
      <c r="H723" s="112"/>
      <c r="L723" s="4"/>
      <c r="M723" s="5"/>
      <c r="N723" s="112"/>
      <c r="R723" s="333"/>
      <c r="S723" s="5"/>
      <c r="T723" s="112"/>
      <c r="X723" s="333"/>
      <c r="Y723" s="5"/>
      <c r="AD723" s="333"/>
      <c r="AE723" s="5"/>
      <c r="AJ723" s="333"/>
      <c r="AK723" s="5"/>
      <c r="AP723" s="333"/>
      <c r="AQ723" s="5"/>
    </row>
    <row r="724" ht="15.75" customHeight="1">
      <c r="C724" s="4"/>
      <c r="D724" s="333"/>
      <c r="E724" s="5"/>
      <c r="F724" s="5"/>
      <c r="G724" s="5"/>
      <c r="H724" s="112"/>
      <c r="L724" s="4"/>
      <c r="M724" s="5"/>
      <c r="N724" s="112"/>
      <c r="R724" s="333"/>
      <c r="S724" s="5"/>
      <c r="T724" s="112"/>
      <c r="X724" s="333"/>
      <c r="Y724" s="5"/>
      <c r="AD724" s="333"/>
      <c r="AE724" s="5"/>
      <c r="AJ724" s="333"/>
      <c r="AK724" s="5"/>
      <c r="AP724" s="333"/>
      <c r="AQ724" s="5"/>
    </row>
    <row r="725" ht="15.75" customHeight="1">
      <c r="C725" s="4"/>
      <c r="D725" s="333"/>
      <c r="E725" s="5"/>
      <c r="F725" s="5"/>
      <c r="G725" s="5"/>
      <c r="H725" s="112"/>
      <c r="L725" s="4"/>
      <c r="M725" s="5"/>
      <c r="N725" s="112"/>
      <c r="R725" s="333"/>
      <c r="S725" s="5"/>
      <c r="T725" s="112"/>
      <c r="X725" s="333"/>
      <c r="Y725" s="5"/>
      <c r="AD725" s="333"/>
      <c r="AE725" s="5"/>
      <c r="AJ725" s="333"/>
      <c r="AK725" s="5"/>
      <c r="AP725" s="333"/>
      <c r="AQ725" s="5"/>
    </row>
    <row r="726" ht="15.75" customHeight="1">
      <c r="C726" s="4"/>
      <c r="D726" s="333"/>
      <c r="E726" s="5"/>
      <c r="F726" s="5"/>
      <c r="G726" s="5"/>
      <c r="H726" s="112"/>
      <c r="L726" s="4"/>
      <c r="M726" s="5"/>
      <c r="N726" s="112"/>
      <c r="R726" s="333"/>
      <c r="S726" s="5"/>
      <c r="T726" s="112"/>
      <c r="X726" s="333"/>
      <c r="Y726" s="5"/>
      <c r="AD726" s="333"/>
      <c r="AE726" s="5"/>
      <c r="AJ726" s="333"/>
      <c r="AK726" s="5"/>
      <c r="AP726" s="333"/>
      <c r="AQ726" s="5"/>
    </row>
    <row r="727" ht="15.75" customHeight="1">
      <c r="C727" s="4"/>
      <c r="D727" s="333"/>
      <c r="E727" s="5"/>
      <c r="F727" s="5"/>
      <c r="G727" s="5"/>
      <c r="H727" s="112"/>
      <c r="L727" s="4"/>
      <c r="M727" s="5"/>
      <c r="N727" s="112"/>
      <c r="R727" s="333"/>
      <c r="S727" s="5"/>
      <c r="T727" s="112"/>
      <c r="X727" s="333"/>
      <c r="Y727" s="5"/>
      <c r="AD727" s="333"/>
      <c r="AE727" s="5"/>
      <c r="AJ727" s="333"/>
      <c r="AK727" s="5"/>
      <c r="AP727" s="333"/>
      <c r="AQ727" s="5"/>
    </row>
    <row r="728" ht="15.75" customHeight="1">
      <c r="C728" s="4"/>
      <c r="D728" s="333"/>
      <c r="E728" s="5"/>
      <c r="F728" s="5"/>
      <c r="G728" s="5"/>
      <c r="H728" s="112"/>
      <c r="L728" s="4"/>
      <c r="M728" s="5"/>
      <c r="N728" s="112"/>
      <c r="R728" s="333"/>
      <c r="S728" s="5"/>
      <c r="T728" s="112"/>
      <c r="X728" s="333"/>
      <c r="Y728" s="5"/>
      <c r="AD728" s="333"/>
      <c r="AE728" s="5"/>
      <c r="AJ728" s="333"/>
      <c r="AK728" s="5"/>
      <c r="AP728" s="333"/>
      <c r="AQ728" s="5"/>
    </row>
    <row r="729" ht="15.75" customHeight="1">
      <c r="C729" s="4"/>
      <c r="D729" s="333"/>
      <c r="E729" s="5"/>
      <c r="F729" s="5"/>
      <c r="G729" s="5"/>
      <c r="H729" s="112"/>
      <c r="L729" s="4"/>
      <c r="M729" s="5"/>
      <c r="N729" s="112"/>
      <c r="R729" s="333"/>
      <c r="S729" s="5"/>
      <c r="T729" s="112"/>
      <c r="X729" s="333"/>
      <c r="Y729" s="5"/>
      <c r="AD729" s="333"/>
      <c r="AE729" s="5"/>
      <c r="AJ729" s="333"/>
      <c r="AK729" s="5"/>
      <c r="AP729" s="333"/>
      <c r="AQ729" s="5"/>
    </row>
    <row r="730" ht="15.75" customHeight="1">
      <c r="C730" s="4"/>
      <c r="D730" s="333"/>
      <c r="E730" s="5"/>
      <c r="F730" s="5"/>
      <c r="G730" s="5"/>
      <c r="H730" s="112"/>
      <c r="L730" s="4"/>
      <c r="M730" s="5"/>
      <c r="N730" s="112"/>
      <c r="R730" s="333"/>
      <c r="S730" s="5"/>
      <c r="T730" s="112"/>
      <c r="X730" s="333"/>
      <c r="Y730" s="5"/>
      <c r="AD730" s="333"/>
      <c r="AE730" s="5"/>
      <c r="AJ730" s="333"/>
      <c r="AK730" s="5"/>
      <c r="AP730" s="333"/>
      <c r="AQ730" s="5"/>
    </row>
    <row r="731" ht="15.75" customHeight="1">
      <c r="C731" s="4"/>
      <c r="D731" s="333"/>
      <c r="E731" s="5"/>
      <c r="F731" s="5"/>
      <c r="G731" s="5"/>
      <c r="H731" s="112"/>
      <c r="L731" s="4"/>
      <c r="M731" s="5"/>
      <c r="N731" s="112"/>
      <c r="R731" s="333"/>
      <c r="S731" s="5"/>
      <c r="T731" s="112"/>
      <c r="X731" s="333"/>
      <c r="Y731" s="5"/>
      <c r="AD731" s="333"/>
      <c r="AE731" s="5"/>
      <c r="AJ731" s="333"/>
      <c r="AK731" s="5"/>
      <c r="AP731" s="333"/>
      <c r="AQ731" s="5"/>
    </row>
    <row r="732" ht="15.75" customHeight="1">
      <c r="C732" s="4"/>
      <c r="D732" s="333"/>
      <c r="E732" s="5"/>
      <c r="F732" s="5"/>
      <c r="G732" s="5"/>
      <c r="H732" s="112"/>
      <c r="L732" s="4"/>
      <c r="M732" s="5"/>
      <c r="N732" s="112"/>
      <c r="R732" s="333"/>
      <c r="S732" s="5"/>
      <c r="T732" s="112"/>
      <c r="X732" s="333"/>
      <c r="Y732" s="5"/>
      <c r="AD732" s="333"/>
      <c r="AE732" s="5"/>
      <c r="AJ732" s="333"/>
      <c r="AK732" s="5"/>
      <c r="AP732" s="333"/>
      <c r="AQ732" s="5"/>
    </row>
    <row r="733" ht="15.75" customHeight="1">
      <c r="C733" s="4"/>
      <c r="D733" s="333"/>
      <c r="E733" s="5"/>
      <c r="F733" s="5"/>
      <c r="G733" s="5"/>
      <c r="H733" s="112"/>
      <c r="L733" s="4"/>
      <c r="M733" s="5"/>
      <c r="N733" s="112"/>
      <c r="R733" s="333"/>
      <c r="S733" s="5"/>
      <c r="T733" s="112"/>
      <c r="X733" s="333"/>
      <c r="Y733" s="5"/>
      <c r="AD733" s="333"/>
      <c r="AE733" s="5"/>
      <c r="AJ733" s="333"/>
      <c r="AK733" s="5"/>
      <c r="AP733" s="333"/>
      <c r="AQ733" s="5"/>
    </row>
    <row r="734" ht="15.75" customHeight="1">
      <c r="C734" s="4"/>
      <c r="D734" s="333"/>
      <c r="E734" s="5"/>
      <c r="F734" s="5"/>
      <c r="G734" s="5"/>
      <c r="H734" s="112"/>
      <c r="L734" s="4"/>
      <c r="M734" s="5"/>
      <c r="N734" s="112"/>
      <c r="R734" s="333"/>
      <c r="S734" s="5"/>
      <c r="T734" s="112"/>
      <c r="X734" s="333"/>
      <c r="Y734" s="5"/>
      <c r="AD734" s="333"/>
      <c r="AE734" s="5"/>
      <c r="AJ734" s="333"/>
      <c r="AK734" s="5"/>
      <c r="AP734" s="333"/>
      <c r="AQ734" s="5"/>
    </row>
    <row r="735" ht="15.75" customHeight="1">
      <c r="C735" s="4"/>
      <c r="D735" s="333"/>
      <c r="E735" s="5"/>
      <c r="F735" s="5"/>
      <c r="G735" s="5"/>
      <c r="H735" s="112"/>
      <c r="L735" s="4"/>
      <c r="M735" s="5"/>
      <c r="N735" s="112"/>
      <c r="R735" s="333"/>
      <c r="S735" s="5"/>
      <c r="T735" s="112"/>
      <c r="X735" s="333"/>
      <c r="Y735" s="5"/>
      <c r="AD735" s="333"/>
      <c r="AE735" s="5"/>
      <c r="AJ735" s="333"/>
      <c r="AK735" s="5"/>
      <c r="AP735" s="333"/>
      <c r="AQ735" s="5"/>
    </row>
    <row r="736" ht="15.75" customHeight="1">
      <c r="C736" s="4"/>
      <c r="D736" s="333"/>
      <c r="E736" s="5"/>
      <c r="F736" s="5"/>
      <c r="G736" s="5"/>
      <c r="H736" s="112"/>
      <c r="L736" s="4"/>
      <c r="M736" s="5"/>
      <c r="N736" s="112"/>
      <c r="R736" s="333"/>
      <c r="S736" s="5"/>
      <c r="T736" s="112"/>
      <c r="X736" s="333"/>
      <c r="Y736" s="5"/>
      <c r="AD736" s="333"/>
      <c r="AE736" s="5"/>
      <c r="AJ736" s="333"/>
      <c r="AK736" s="5"/>
      <c r="AP736" s="333"/>
      <c r="AQ736" s="5"/>
    </row>
    <row r="737" ht="15.75" customHeight="1">
      <c r="C737" s="4"/>
      <c r="D737" s="333"/>
      <c r="E737" s="5"/>
      <c r="F737" s="5"/>
      <c r="G737" s="5"/>
      <c r="H737" s="112"/>
      <c r="L737" s="4"/>
      <c r="M737" s="5"/>
      <c r="N737" s="112"/>
      <c r="R737" s="333"/>
      <c r="S737" s="5"/>
      <c r="T737" s="112"/>
      <c r="X737" s="333"/>
      <c r="Y737" s="5"/>
      <c r="AD737" s="333"/>
      <c r="AE737" s="5"/>
      <c r="AJ737" s="333"/>
      <c r="AK737" s="5"/>
      <c r="AP737" s="333"/>
      <c r="AQ737" s="5"/>
    </row>
    <row r="738" ht="15.75" customHeight="1">
      <c r="C738" s="4"/>
      <c r="D738" s="333"/>
      <c r="E738" s="5"/>
      <c r="F738" s="5"/>
      <c r="G738" s="5"/>
      <c r="H738" s="112"/>
      <c r="L738" s="4"/>
      <c r="M738" s="5"/>
      <c r="N738" s="112"/>
      <c r="R738" s="333"/>
      <c r="S738" s="5"/>
      <c r="T738" s="112"/>
      <c r="X738" s="333"/>
      <c r="Y738" s="5"/>
      <c r="AD738" s="333"/>
      <c r="AE738" s="5"/>
      <c r="AJ738" s="333"/>
      <c r="AK738" s="5"/>
      <c r="AP738" s="333"/>
      <c r="AQ738" s="5"/>
    </row>
    <row r="739" ht="15.75" customHeight="1">
      <c r="C739" s="4"/>
      <c r="D739" s="333"/>
      <c r="E739" s="5"/>
      <c r="F739" s="5"/>
      <c r="G739" s="5"/>
      <c r="H739" s="112"/>
      <c r="L739" s="4"/>
      <c r="M739" s="5"/>
      <c r="N739" s="112"/>
      <c r="R739" s="333"/>
      <c r="S739" s="5"/>
      <c r="T739" s="112"/>
      <c r="X739" s="333"/>
      <c r="Y739" s="5"/>
      <c r="AD739" s="333"/>
      <c r="AE739" s="5"/>
      <c r="AJ739" s="333"/>
      <c r="AK739" s="5"/>
      <c r="AP739" s="333"/>
      <c r="AQ739" s="5"/>
    </row>
    <row r="740" ht="15.75" customHeight="1">
      <c r="C740" s="4"/>
      <c r="D740" s="333"/>
      <c r="E740" s="5"/>
      <c r="F740" s="5"/>
      <c r="G740" s="5"/>
      <c r="H740" s="112"/>
      <c r="L740" s="4"/>
      <c r="M740" s="5"/>
      <c r="N740" s="112"/>
      <c r="R740" s="333"/>
      <c r="S740" s="5"/>
      <c r="T740" s="112"/>
      <c r="X740" s="333"/>
      <c r="Y740" s="5"/>
      <c r="AD740" s="333"/>
      <c r="AE740" s="5"/>
      <c r="AJ740" s="333"/>
      <c r="AK740" s="5"/>
      <c r="AP740" s="333"/>
      <c r="AQ740" s="5"/>
    </row>
    <row r="741" ht="15.75" customHeight="1">
      <c r="C741" s="4"/>
      <c r="D741" s="333"/>
      <c r="E741" s="5"/>
      <c r="F741" s="5"/>
      <c r="G741" s="5"/>
      <c r="H741" s="112"/>
      <c r="L741" s="4"/>
      <c r="M741" s="5"/>
      <c r="N741" s="112"/>
      <c r="R741" s="333"/>
      <c r="S741" s="5"/>
      <c r="T741" s="112"/>
      <c r="X741" s="333"/>
      <c r="Y741" s="5"/>
      <c r="AD741" s="333"/>
      <c r="AE741" s="5"/>
      <c r="AJ741" s="333"/>
      <c r="AK741" s="5"/>
      <c r="AP741" s="333"/>
      <c r="AQ741" s="5"/>
    </row>
    <row r="742" ht="15.75" customHeight="1">
      <c r="C742" s="4"/>
      <c r="D742" s="333"/>
      <c r="E742" s="5"/>
      <c r="F742" s="5"/>
      <c r="G742" s="5"/>
      <c r="H742" s="112"/>
      <c r="L742" s="4"/>
      <c r="M742" s="5"/>
      <c r="N742" s="112"/>
      <c r="R742" s="333"/>
      <c r="S742" s="5"/>
      <c r="T742" s="112"/>
      <c r="X742" s="333"/>
      <c r="Y742" s="5"/>
      <c r="AD742" s="333"/>
      <c r="AE742" s="5"/>
      <c r="AJ742" s="333"/>
      <c r="AK742" s="5"/>
      <c r="AP742" s="333"/>
      <c r="AQ742" s="5"/>
    </row>
    <row r="743" ht="15.75" customHeight="1">
      <c r="C743" s="4"/>
      <c r="D743" s="333"/>
      <c r="E743" s="5"/>
      <c r="F743" s="5"/>
      <c r="G743" s="5"/>
      <c r="H743" s="112"/>
      <c r="L743" s="4"/>
      <c r="M743" s="5"/>
      <c r="N743" s="112"/>
      <c r="R743" s="333"/>
      <c r="S743" s="5"/>
      <c r="T743" s="112"/>
      <c r="X743" s="333"/>
      <c r="Y743" s="5"/>
      <c r="AD743" s="333"/>
      <c r="AE743" s="5"/>
      <c r="AJ743" s="333"/>
      <c r="AK743" s="5"/>
      <c r="AP743" s="333"/>
      <c r="AQ743" s="5"/>
    </row>
    <row r="744" ht="15.75" customHeight="1">
      <c r="C744" s="4"/>
      <c r="D744" s="333"/>
      <c r="E744" s="5"/>
      <c r="F744" s="5"/>
      <c r="G744" s="5"/>
      <c r="H744" s="112"/>
      <c r="L744" s="4"/>
      <c r="M744" s="5"/>
      <c r="N744" s="112"/>
      <c r="R744" s="333"/>
      <c r="S744" s="5"/>
      <c r="T744" s="112"/>
      <c r="X744" s="333"/>
      <c r="Y744" s="5"/>
      <c r="AD744" s="333"/>
      <c r="AE744" s="5"/>
      <c r="AJ744" s="333"/>
      <c r="AK744" s="5"/>
      <c r="AP744" s="333"/>
      <c r="AQ744" s="5"/>
    </row>
    <row r="745" ht="15.75" customHeight="1">
      <c r="C745" s="4"/>
      <c r="D745" s="333"/>
      <c r="E745" s="5"/>
      <c r="F745" s="5"/>
      <c r="G745" s="5"/>
      <c r="H745" s="112"/>
      <c r="L745" s="4"/>
      <c r="M745" s="5"/>
      <c r="N745" s="112"/>
      <c r="R745" s="333"/>
      <c r="S745" s="5"/>
      <c r="T745" s="112"/>
      <c r="X745" s="333"/>
      <c r="Y745" s="5"/>
      <c r="AD745" s="333"/>
      <c r="AE745" s="5"/>
      <c r="AJ745" s="333"/>
      <c r="AK745" s="5"/>
      <c r="AP745" s="333"/>
      <c r="AQ745" s="5"/>
    </row>
    <row r="746" ht="15.75" customHeight="1">
      <c r="C746" s="4"/>
      <c r="D746" s="333"/>
      <c r="E746" s="5"/>
      <c r="F746" s="5"/>
      <c r="G746" s="5"/>
      <c r="H746" s="112"/>
      <c r="L746" s="4"/>
      <c r="M746" s="5"/>
      <c r="N746" s="112"/>
      <c r="R746" s="333"/>
      <c r="S746" s="5"/>
      <c r="T746" s="112"/>
      <c r="X746" s="333"/>
      <c r="Y746" s="5"/>
      <c r="AD746" s="333"/>
      <c r="AE746" s="5"/>
      <c r="AJ746" s="333"/>
      <c r="AK746" s="5"/>
      <c r="AP746" s="333"/>
      <c r="AQ746" s="5"/>
    </row>
    <row r="747" ht="15.75" customHeight="1">
      <c r="C747" s="4"/>
      <c r="D747" s="333"/>
      <c r="E747" s="5"/>
      <c r="F747" s="5"/>
      <c r="G747" s="5"/>
      <c r="H747" s="112"/>
      <c r="L747" s="4"/>
      <c r="M747" s="5"/>
      <c r="N747" s="112"/>
      <c r="R747" s="333"/>
      <c r="S747" s="5"/>
      <c r="T747" s="112"/>
      <c r="X747" s="333"/>
      <c r="Y747" s="5"/>
      <c r="AD747" s="333"/>
      <c r="AE747" s="5"/>
      <c r="AJ747" s="333"/>
      <c r="AK747" s="5"/>
      <c r="AP747" s="333"/>
      <c r="AQ747" s="5"/>
    </row>
    <row r="748" ht="15.75" customHeight="1">
      <c r="C748" s="4"/>
      <c r="D748" s="333"/>
      <c r="E748" s="5"/>
      <c r="F748" s="5"/>
      <c r="G748" s="5"/>
      <c r="H748" s="112"/>
      <c r="L748" s="4"/>
      <c r="M748" s="5"/>
      <c r="N748" s="112"/>
      <c r="R748" s="333"/>
      <c r="S748" s="5"/>
      <c r="T748" s="112"/>
      <c r="X748" s="333"/>
      <c r="Y748" s="5"/>
      <c r="AD748" s="333"/>
      <c r="AE748" s="5"/>
      <c r="AJ748" s="333"/>
      <c r="AK748" s="5"/>
      <c r="AP748" s="333"/>
      <c r="AQ748" s="5"/>
    </row>
    <row r="749" ht="15.75" customHeight="1">
      <c r="C749" s="4"/>
      <c r="D749" s="333"/>
      <c r="E749" s="5"/>
      <c r="F749" s="5"/>
      <c r="G749" s="5"/>
      <c r="H749" s="112"/>
      <c r="L749" s="4"/>
      <c r="M749" s="5"/>
      <c r="N749" s="112"/>
      <c r="R749" s="333"/>
      <c r="S749" s="5"/>
      <c r="T749" s="112"/>
      <c r="X749" s="333"/>
      <c r="Y749" s="5"/>
      <c r="AD749" s="333"/>
      <c r="AE749" s="5"/>
      <c r="AJ749" s="333"/>
      <c r="AK749" s="5"/>
      <c r="AP749" s="333"/>
      <c r="AQ749" s="5"/>
    </row>
    <row r="750" ht="15.75" customHeight="1">
      <c r="C750" s="4"/>
      <c r="D750" s="333"/>
      <c r="E750" s="5"/>
      <c r="F750" s="5"/>
      <c r="G750" s="5"/>
      <c r="H750" s="112"/>
      <c r="L750" s="4"/>
      <c r="M750" s="5"/>
      <c r="N750" s="112"/>
      <c r="R750" s="333"/>
      <c r="S750" s="5"/>
      <c r="T750" s="112"/>
      <c r="X750" s="333"/>
      <c r="Y750" s="5"/>
      <c r="AD750" s="333"/>
      <c r="AE750" s="5"/>
      <c r="AJ750" s="333"/>
      <c r="AK750" s="5"/>
      <c r="AP750" s="333"/>
      <c r="AQ750" s="5"/>
    </row>
    <row r="751" ht="15.75" customHeight="1">
      <c r="C751" s="4"/>
      <c r="D751" s="333"/>
      <c r="E751" s="5"/>
      <c r="F751" s="5"/>
      <c r="G751" s="5"/>
      <c r="H751" s="112"/>
      <c r="L751" s="4"/>
      <c r="M751" s="5"/>
      <c r="N751" s="112"/>
      <c r="R751" s="333"/>
      <c r="S751" s="5"/>
      <c r="T751" s="112"/>
      <c r="X751" s="333"/>
      <c r="Y751" s="5"/>
      <c r="AD751" s="333"/>
      <c r="AE751" s="5"/>
      <c r="AJ751" s="333"/>
      <c r="AK751" s="5"/>
      <c r="AP751" s="333"/>
      <c r="AQ751" s="5"/>
    </row>
    <row r="752" ht="15.75" customHeight="1">
      <c r="C752" s="4"/>
      <c r="D752" s="333"/>
      <c r="E752" s="5"/>
      <c r="F752" s="5"/>
      <c r="G752" s="5"/>
      <c r="H752" s="112"/>
      <c r="L752" s="4"/>
      <c r="M752" s="5"/>
      <c r="N752" s="112"/>
      <c r="R752" s="333"/>
      <c r="S752" s="5"/>
      <c r="T752" s="112"/>
      <c r="X752" s="333"/>
      <c r="Y752" s="5"/>
      <c r="AD752" s="333"/>
      <c r="AE752" s="5"/>
      <c r="AJ752" s="333"/>
      <c r="AK752" s="5"/>
      <c r="AP752" s="333"/>
      <c r="AQ752" s="5"/>
    </row>
    <row r="753" ht="15.75" customHeight="1">
      <c r="C753" s="4"/>
      <c r="D753" s="333"/>
      <c r="E753" s="5"/>
      <c r="F753" s="5"/>
      <c r="G753" s="5"/>
      <c r="H753" s="112"/>
      <c r="L753" s="4"/>
      <c r="M753" s="5"/>
      <c r="N753" s="112"/>
      <c r="R753" s="333"/>
      <c r="S753" s="5"/>
      <c r="T753" s="112"/>
      <c r="X753" s="333"/>
      <c r="Y753" s="5"/>
      <c r="AD753" s="333"/>
      <c r="AE753" s="5"/>
      <c r="AJ753" s="333"/>
      <c r="AK753" s="5"/>
      <c r="AP753" s="333"/>
      <c r="AQ753" s="5"/>
    </row>
    <row r="754" ht="15.75" customHeight="1">
      <c r="C754" s="4"/>
      <c r="D754" s="333"/>
      <c r="E754" s="5"/>
      <c r="F754" s="5"/>
      <c r="G754" s="5"/>
      <c r="H754" s="112"/>
      <c r="L754" s="4"/>
      <c r="M754" s="5"/>
      <c r="N754" s="112"/>
      <c r="R754" s="333"/>
      <c r="S754" s="5"/>
      <c r="T754" s="112"/>
      <c r="X754" s="333"/>
      <c r="Y754" s="5"/>
      <c r="AD754" s="333"/>
      <c r="AE754" s="5"/>
      <c r="AJ754" s="333"/>
      <c r="AK754" s="5"/>
      <c r="AP754" s="333"/>
      <c r="AQ754" s="5"/>
    </row>
    <row r="755" ht="15.75" customHeight="1">
      <c r="C755" s="4"/>
      <c r="D755" s="333"/>
      <c r="E755" s="5"/>
      <c r="F755" s="5"/>
      <c r="G755" s="5"/>
      <c r="H755" s="112"/>
      <c r="L755" s="4"/>
      <c r="M755" s="5"/>
      <c r="N755" s="112"/>
      <c r="R755" s="333"/>
      <c r="S755" s="5"/>
      <c r="T755" s="112"/>
      <c r="X755" s="333"/>
      <c r="Y755" s="5"/>
      <c r="AD755" s="333"/>
      <c r="AE755" s="5"/>
      <c r="AJ755" s="333"/>
      <c r="AK755" s="5"/>
      <c r="AP755" s="333"/>
      <c r="AQ755" s="5"/>
    </row>
    <row r="756" ht="15.75" customHeight="1">
      <c r="C756" s="4"/>
      <c r="D756" s="333"/>
      <c r="E756" s="5"/>
      <c r="F756" s="5"/>
      <c r="G756" s="5"/>
      <c r="H756" s="112"/>
      <c r="L756" s="4"/>
      <c r="M756" s="5"/>
      <c r="N756" s="112"/>
      <c r="R756" s="333"/>
      <c r="S756" s="5"/>
      <c r="T756" s="112"/>
      <c r="X756" s="333"/>
      <c r="Y756" s="5"/>
      <c r="AD756" s="333"/>
      <c r="AE756" s="5"/>
      <c r="AJ756" s="333"/>
      <c r="AK756" s="5"/>
      <c r="AP756" s="333"/>
      <c r="AQ756" s="5"/>
    </row>
    <row r="757" ht="15.75" customHeight="1">
      <c r="C757" s="4"/>
      <c r="D757" s="333"/>
      <c r="E757" s="5"/>
      <c r="F757" s="5"/>
      <c r="G757" s="5"/>
      <c r="H757" s="112"/>
      <c r="L757" s="4"/>
      <c r="M757" s="5"/>
      <c r="N757" s="112"/>
      <c r="R757" s="333"/>
      <c r="S757" s="5"/>
      <c r="T757" s="112"/>
      <c r="X757" s="333"/>
      <c r="Y757" s="5"/>
      <c r="AD757" s="333"/>
      <c r="AE757" s="5"/>
      <c r="AJ757" s="333"/>
      <c r="AK757" s="5"/>
      <c r="AP757" s="333"/>
      <c r="AQ757" s="5"/>
    </row>
    <row r="758" ht="15.75" customHeight="1">
      <c r="C758" s="4"/>
      <c r="D758" s="333"/>
      <c r="E758" s="5"/>
      <c r="F758" s="5"/>
      <c r="G758" s="5"/>
      <c r="H758" s="112"/>
      <c r="L758" s="4"/>
      <c r="M758" s="5"/>
      <c r="N758" s="112"/>
      <c r="R758" s="333"/>
      <c r="S758" s="5"/>
      <c r="T758" s="112"/>
      <c r="X758" s="333"/>
      <c r="Y758" s="5"/>
      <c r="AD758" s="333"/>
      <c r="AE758" s="5"/>
      <c r="AJ758" s="333"/>
      <c r="AK758" s="5"/>
      <c r="AP758" s="333"/>
      <c r="AQ758" s="5"/>
    </row>
    <row r="759" ht="15.75" customHeight="1">
      <c r="C759" s="4"/>
      <c r="D759" s="333"/>
      <c r="E759" s="5"/>
      <c r="F759" s="5"/>
      <c r="G759" s="5"/>
      <c r="H759" s="112"/>
      <c r="L759" s="4"/>
      <c r="M759" s="5"/>
      <c r="N759" s="112"/>
      <c r="R759" s="333"/>
      <c r="S759" s="5"/>
      <c r="T759" s="112"/>
      <c r="X759" s="333"/>
      <c r="Y759" s="5"/>
      <c r="AD759" s="333"/>
      <c r="AE759" s="5"/>
      <c r="AJ759" s="333"/>
      <c r="AK759" s="5"/>
      <c r="AP759" s="333"/>
      <c r="AQ759" s="5"/>
    </row>
    <row r="760" ht="15.75" customHeight="1">
      <c r="C760" s="4"/>
      <c r="D760" s="333"/>
      <c r="E760" s="5"/>
      <c r="F760" s="5"/>
      <c r="G760" s="5"/>
      <c r="H760" s="112"/>
      <c r="L760" s="4"/>
      <c r="M760" s="5"/>
      <c r="N760" s="112"/>
      <c r="R760" s="333"/>
      <c r="S760" s="5"/>
      <c r="T760" s="112"/>
      <c r="X760" s="333"/>
      <c r="Y760" s="5"/>
      <c r="AD760" s="333"/>
      <c r="AE760" s="5"/>
      <c r="AJ760" s="333"/>
      <c r="AK760" s="5"/>
      <c r="AP760" s="333"/>
      <c r="AQ760" s="5"/>
    </row>
    <row r="761" ht="15.75" customHeight="1">
      <c r="C761" s="4"/>
      <c r="D761" s="333"/>
      <c r="E761" s="5"/>
      <c r="F761" s="5"/>
      <c r="G761" s="5"/>
      <c r="H761" s="112"/>
      <c r="L761" s="4"/>
      <c r="M761" s="5"/>
      <c r="N761" s="112"/>
      <c r="R761" s="333"/>
      <c r="S761" s="5"/>
      <c r="T761" s="112"/>
      <c r="X761" s="333"/>
      <c r="Y761" s="5"/>
      <c r="AD761" s="333"/>
      <c r="AE761" s="5"/>
      <c r="AJ761" s="333"/>
      <c r="AK761" s="5"/>
      <c r="AP761" s="333"/>
      <c r="AQ761" s="5"/>
    </row>
    <row r="762" ht="15.75" customHeight="1">
      <c r="C762" s="4"/>
      <c r="D762" s="333"/>
      <c r="E762" s="5"/>
      <c r="F762" s="5"/>
      <c r="G762" s="5"/>
      <c r="H762" s="112"/>
      <c r="L762" s="4"/>
      <c r="M762" s="5"/>
      <c r="N762" s="112"/>
      <c r="R762" s="333"/>
      <c r="S762" s="5"/>
      <c r="T762" s="112"/>
      <c r="X762" s="333"/>
      <c r="Y762" s="5"/>
      <c r="AD762" s="333"/>
      <c r="AE762" s="5"/>
      <c r="AJ762" s="333"/>
      <c r="AK762" s="5"/>
      <c r="AP762" s="333"/>
      <c r="AQ762" s="5"/>
    </row>
    <row r="763" ht="15.75" customHeight="1">
      <c r="C763" s="4"/>
      <c r="D763" s="333"/>
      <c r="E763" s="5"/>
      <c r="F763" s="5"/>
      <c r="G763" s="5"/>
      <c r="H763" s="112"/>
      <c r="L763" s="4"/>
      <c r="M763" s="5"/>
      <c r="N763" s="112"/>
      <c r="R763" s="333"/>
      <c r="S763" s="5"/>
      <c r="T763" s="112"/>
      <c r="X763" s="333"/>
      <c r="Y763" s="5"/>
      <c r="AD763" s="333"/>
      <c r="AE763" s="5"/>
      <c r="AJ763" s="333"/>
      <c r="AK763" s="5"/>
      <c r="AP763" s="333"/>
      <c r="AQ763" s="5"/>
    </row>
    <row r="764" ht="15.75" customHeight="1">
      <c r="C764" s="4"/>
      <c r="D764" s="333"/>
      <c r="E764" s="5"/>
      <c r="F764" s="5"/>
      <c r="G764" s="5"/>
      <c r="H764" s="112"/>
      <c r="L764" s="4"/>
      <c r="M764" s="5"/>
      <c r="N764" s="112"/>
      <c r="R764" s="333"/>
      <c r="S764" s="5"/>
      <c r="T764" s="112"/>
      <c r="X764" s="333"/>
      <c r="Y764" s="5"/>
      <c r="AD764" s="333"/>
      <c r="AE764" s="5"/>
      <c r="AJ764" s="333"/>
      <c r="AK764" s="5"/>
      <c r="AP764" s="333"/>
      <c r="AQ764" s="5"/>
    </row>
    <row r="765" ht="15.75" customHeight="1">
      <c r="C765" s="4"/>
      <c r="D765" s="333"/>
      <c r="E765" s="5"/>
      <c r="F765" s="5"/>
      <c r="G765" s="5"/>
      <c r="H765" s="112"/>
      <c r="L765" s="4"/>
      <c r="M765" s="5"/>
      <c r="N765" s="112"/>
      <c r="R765" s="333"/>
      <c r="S765" s="5"/>
      <c r="T765" s="112"/>
      <c r="X765" s="333"/>
      <c r="Y765" s="5"/>
      <c r="AD765" s="333"/>
      <c r="AE765" s="5"/>
      <c r="AJ765" s="333"/>
      <c r="AK765" s="5"/>
      <c r="AP765" s="333"/>
      <c r="AQ765" s="5"/>
    </row>
    <row r="766" ht="15.75" customHeight="1">
      <c r="C766" s="4"/>
      <c r="D766" s="333"/>
      <c r="E766" s="5"/>
      <c r="F766" s="5"/>
      <c r="G766" s="5"/>
      <c r="H766" s="112"/>
      <c r="L766" s="4"/>
      <c r="M766" s="5"/>
      <c r="N766" s="112"/>
      <c r="R766" s="333"/>
      <c r="S766" s="5"/>
      <c r="T766" s="112"/>
      <c r="X766" s="333"/>
      <c r="Y766" s="5"/>
      <c r="AD766" s="333"/>
      <c r="AE766" s="5"/>
      <c r="AJ766" s="333"/>
      <c r="AK766" s="5"/>
      <c r="AP766" s="333"/>
      <c r="AQ766" s="5"/>
    </row>
    <row r="767" ht="15.75" customHeight="1">
      <c r="C767" s="4"/>
      <c r="D767" s="333"/>
      <c r="E767" s="5"/>
      <c r="F767" s="5"/>
      <c r="G767" s="5"/>
      <c r="H767" s="112"/>
      <c r="L767" s="4"/>
      <c r="M767" s="5"/>
      <c r="N767" s="112"/>
      <c r="R767" s="333"/>
      <c r="S767" s="5"/>
      <c r="T767" s="112"/>
      <c r="X767" s="333"/>
      <c r="Y767" s="5"/>
      <c r="AD767" s="333"/>
      <c r="AE767" s="5"/>
      <c r="AJ767" s="333"/>
      <c r="AK767" s="5"/>
      <c r="AP767" s="333"/>
      <c r="AQ767" s="5"/>
    </row>
    <row r="768" ht="15.75" customHeight="1">
      <c r="C768" s="4"/>
      <c r="D768" s="333"/>
      <c r="E768" s="5"/>
      <c r="F768" s="5"/>
      <c r="G768" s="5"/>
      <c r="H768" s="112"/>
      <c r="L768" s="4"/>
      <c r="M768" s="5"/>
      <c r="N768" s="112"/>
      <c r="R768" s="333"/>
      <c r="S768" s="5"/>
      <c r="T768" s="112"/>
      <c r="X768" s="333"/>
      <c r="Y768" s="5"/>
      <c r="AD768" s="333"/>
      <c r="AE768" s="5"/>
      <c r="AJ768" s="333"/>
      <c r="AK768" s="5"/>
      <c r="AP768" s="333"/>
      <c r="AQ768" s="5"/>
    </row>
    <row r="769" ht="15.75" customHeight="1">
      <c r="C769" s="4"/>
      <c r="D769" s="333"/>
      <c r="E769" s="5"/>
      <c r="F769" s="5"/>
      <c r="G769" s="5"/>
      <c r="H769" s="112"/>
      <c r="L769" s="4"/>
      <c r="M769" s="5"/>
      <c r="N769" s="112"/>
      <c r="R769" s="333"/>
      <c r="S769" s="5"/>
      <c r="T769" s="112"/>
      <c r="X769" s="333"/>
      <c r="Y769" s="5"/>
      <c r="AD769" s="333"/>
      <c r="AE769" s="5"/>
      <c r="AJ769" s="333"/>
      <c r="AK769" s="5"/>
      <c r="AP769" s="333"/>
      <c r="AQ769" s="5"/>
    </row>
    <row r="770" ht="15.75" customHeight="1">
      <c r="C770" s="4"/>
      <c r="D770" s="333"/>
      <c r="E770" s="5"/>
      <c r="F770" s="5"/>
      <c r="G770" s="5"/>
      <c r="H770" s="112"/>
      <c r="L770" s="4"/>
      <c r="M770" s="5"/>
      <c r="N770" s="112"/>
      <c r="R770" s="333"/>
      <c r="S770" s="5"/>
      <c r="T770" s="112"/>
      <c r="X770" s="333"/>
      <c r="Y770" s="5"/>
      <c r="AD770" s="333"/>
      <c r="AE770" s="5"/>
      <c r="AJ770" s="333"/>
      <c r="AK770" s="5"/>
      <c r="AP770" s="333"/>
      <c r="AQ770" s="5"/>
    </row>
    <row r="771" ht="15.75" customHeight="1">
      <c r="C771" s="4"/>
      <c r="D771" s="333"/>
      <c r="E771" s="5"/>
      <c r="F771" s="5"/>
      <c r="G771" s="5"/>
      <c r="H771" s="112"/>
      <c r="L771" s="4"/>
      <c r="M771" s="5"/>
      <c r="N771" s="112"/>
      <c r="R771" s="333"/>
      <c r="S771" s="5"/>
      <c r="T771" s="112"/>
      <c r="X771" s="333"/>
      <c r="Y771" s="5"/>
      <c r="AD771" s="333"/>
      <c r="AE771" s="5"/>
      <c r="AJ771" s="333"/>
      <c r="AK771" s="5"/>
      <c r="AP771" s="333"/>
      <c r="AQ771" s="5"/>
    </row>
    <row r="772" ht="15.75" customHeight="1">
      <c r="C772" s="4"/>
      <c r="D772" s="333"/>
      <c r="E772" s="5"/>
      <c r="F772" s="5"/>
      <c r="G772" s="5"/>
      <c r="H772" s="112"/>
      <c r="L772" s="4"/>
      <c r="M772" s="5"/>
      <c r="N772" s="112"/>
      <c r="R772" s="333"/>
      <c r="S772" s="5"/>
      <c r="T772" s="112"/>
      <c r="X772" s="333"/>
      <c r="Y772" s="5"/>
      <c r="AD772" s="333"/>
      <c r="AE772" s="5"/>
      <c r="AJ772" s="333"/>
      <c r="AK772" s="5"/>
      <c r="AP772" s="333"/>
      <c r="AQ772" s="5"/>
    </row>
    <row r="773" ht="15.75" customHeight="1">
      <c r="C773" s="4"/>
      <c r="D773" s="333"/>
      <c r="E773" s="5"/>
      <c r="F773" s="5"/>
      <c r="G773" s="5"/>
      <c r="H773" s="112"/>
      <c r="L773" s="4"/>
      <c r="M773" s="5"/>
      <c r="N773" s="112"/>
      <c r="R773" s="333"/>
      <c r="S773" s="5"/>
      <c r="T773" s="112"/>
      <c r="X773" s="333"/>
      <c r="Y773" s="5"/>
      <c r="AD773" s="333"/>
      <c r="AE773" s="5"/>
      <c r="AJ773" s="333"/>
      <c r="AK773" s="5"/>
      <c r="AP773" s="333"/>
      <c r="AQ773" s="5"/>
    </row>
    <row r="774" ht="15.75" customHeight="1">
      <c r="C774" s="4"/>
      <c r="D774" s="333"/>
      <c r="E774" s="5"/>
      <c r="F774" s="5"/>
      <c r="G774" s="5"/>
      <c r="H774" s="112"/>
      <c r="L774" s="4"/>
      <c r="M774" s="5"/>
      <c r="N774" s="112"/>
      <c r="R774" s="333"/>
      <c r="S774" s="5"/>
      <c r="T774" s="112"/>
      <c r="X774" s="333"/>
      <c r="Y774" s="5"/>
      <c r="AD774" s="333"/>
      <c r="AE774" s="5"/>
      <c r="AJ774" s="333"/>
      <c r="AK774" s="5"/>
      <c r="AP774" s="333"/>
      <c r="AQ774" s="5"/>
    </row>
    <row r="775" ht="15.75" customHeight="1">
      <c r="C775" s="4"/>
      <c r="D775" s="333"/>
      <c r="E775" s="5"/>
      <c r="F775" s="5"/>
      <c r="G775" s="5"/>
      <c r="H775" s="112"/>
      <c r="L775" s="4"/>
      <c r="M775" s="5"/>
      <c r="N775" s="112"/>
      <c r="R775" s="333"/>
      <c r="S775" s="5"/>
      <c r="T775" s="112"/>
      <c r="X775" s="333"/>
      <c r="Y775" s="5"/>
      <c r="AD775" s="333"/>
      <c r="AE775" s="5"/>
      <c r="AJ775" s="333"/>
      <c r="AK775" s="5"/>
      <c r="AP775" s="333"/>
      <c r="AQ775" s="5"/>
    </row>
    <row r="776" ht="15.75" customHeight="1">
      <c r="C776" s="4"/>
      <c r="D776" s="333"/>
      <c r="E776" s="5"/>
      <c r="F776" s="5"/>
      <c r="G776" s="5"/>
      <c r="H776" s="112"/>
      <c r="L776" s="4"/>
      <c r="M776" s="5"/>
      <c r="N776" s="112"/>
      <c r="R776" s="333"/>
      <c r="S776" s="5"/>
      <c r="T776" s="112"/>
      <c r="X776" s="333"/>
      <c r="Y776" s="5"/>
      <c r="AD776" s="333"/>
      <c r="AE776" s="5"/>
      <c r="AJ776" s="333"/>
      <c r="AK776" s="5"/>
      <c r="AP776" s="333"/>
      <c r="AQ776" s="5"/>
    </row>
    <row r="777" ht="15.75" customHeight="1">
      <c r="C777" s="4"/>
      <c r="D777" s="333"/>
      <c r="E777" s="5"/>
      <c r="F777" s="5"/>
      <c r="G777" s="5"/>
      <c r="H777" s="112"/>
      <c r="L777" s="4"/>
      <c r="M777" s="5"/>
      <c r="N777" s="112"/>
      <c r="R777" s="333"/>
      <c r="S777" s="5"/>
      <c r="T777" s="112"/>
      <c r="X777" s="333"/>
      <c r="Y777" s="5"/>
      <c r="AD777" s="333"/>
      <c r="AE777" s="5"/>
      <c r="AJ777" s="333"/>
      <c r="AK777" s="5"/>
      <c r="AP777" s="333"/>
      <c r="AQ777" s="5"/>
    </row>
    <row r="778" ht="15.75" customHeight="1">
      <c r="C778" s="4"/>
      <c r="D778" s="333"/>
      <c r="E778" s="5"/>
      <c r="F778" s="5"/>
      <c r="G778" s="5"/>
      <c r="H778" s="112"/>
      <c r="L778" s="4"/>
      <c r="M778" s="5"/>
      <c r="N778" s="112"/>
      <c r="R778" s="333"/>
      <c r="S778" s="5"/>
      <c r="T778" s="112"/>
      <c r="X778" s="333"/>
      <c r="Y778" s="5"/>
      <c r="AD778" s="333"/>
      <c r="AE778" s="5"/>
      <c r="AJ778" s="333"/>
      <c r="AK778" s="5"/>
      <c r="AP778" s="333"/>
      <c r="AQ778" s="5"/>
    </row>
    <row r="779" ht="15.75" customHeight="1">
      <c r="C779" s="4"/>
      <c r="D779" s="333"/>
      <c r="E779" s="5"/>
      <c r="F779" s="5"/>
      <c r="G779" s="5"/>
      <c r="H779" s="112"/>
      <c r="L779" s="4"/>
      <c r="M779" s="5"/>
      <c r="N779" s="112"/>
      <c r="R779" s="333"/>
      <c r="S779" s="5"/>
      <c r="T779" s="112"/>
      <c r="X779" s="333"/>
      <c r="Y779" s="5"/>
      <c r="AD779" s="333"/>
      <c r="AE779" s="5"/>
      <c r="AJ779" s="333"/>
      <c r="AK779" s="5"/>
      <c r="AP779" s="333"/>
      <c r="AQ779" s="5"/>
    </row>
    <row r="780" ht="15.75" customHeight="1">
      <c r="C780" s="4"/>
      <c r="D780" s="333"/>
      <c r="E780" s="5"/>
      <c r="F780" s="5"/>
      <c r="G780" s="5"/>
      <c r="H780" s="112"/>
      <c r="L780" s="4"/>
      <c r="M780" s="5"/>
      <c r="N780" s="112"/>
      <c r="R780" s="333"/>
      <c r="S780" s="5"/>
      <c r="T780" s="112"/>
      <c r="X780" s="333"/>
      <c r="Y780" s="5"/>
      <c r="AD780" s="333"/>
      <c r="AE780" s="5"/>
      <c r="AJ780" s="333"/>
      <c r="AK780" s="5"/>
      <c r="AP780" s="333"/>
      <c r="AQ780" s="5"/>
    </row>
    <row r="781" ht="15.75" customHeight="1">
      <c r="C781" s="4"/>
      <c r="D781" s="333"/>
      <c r="E781" s="5"/>
      <c r="F781" s="5"/>
      <c r="G781" s="5"/>
      <c r="H781" s="112"/>
      <c r="L781" s="4"/>
      <c r="M781" s="5"/>
      <c r="N781" s="112"/>
      <c r="R781" s="333"/>
      <c r="S781" s="5"/>
      <c r="T781" s="112"/>
      <c r="X781" s="333"/>
      <c r="Y781" s="5"/>
      <c r="AD781" s="333"/>
      <c r="AE781" s="5"/>
      <c r="AJ781" s="333"/>
      <c r="AK781" s="5"/>
      <c r="AP781" s="333"/>
      <c r="AQ781" s="5"/>
    </row>
    <row r="782" ht="15.75" customHeight="1">
      <c r="C782" s="4"/>
      <c r="D782" s="333"/>
      <c r="E782" s="5"/>
      <c r="F782" s="5"/>
      <c r="G782" s="5"/>
      <c r="H782" s="112"/>
      <c r="L782" s="4"/>
      <c r="M782" s="5"/>
      <c r="N782" s="112"/>
      <c r="R782" s="333"/>
      <c r="S782" s="5"/>
      <c r="T782" s="112"/>
      <c r="X782" s="333"/>
      <c r="Y782" s="5"/>
      <c r="AD782" s="333"/>
      <c r="AE782" s="5"/>
      <c r="AJ782" s="333"/>
      <c r="AK782" s="5"/>
      <c r="AP782" s="333"/>
      <c r="AQ782" s="5"/>
    </row>
    <row r="783" ht="15.75" customHeight="1">
      <c r="C783" s="4"/>
      <c r="D783" s="333"/>
      <c r="E783" s="5"/>
      <c r="F783" s="5"/>
      <c r="G783" s="5"/>
      <c r="H783" s="112"/>
      <c r="L783" s="4"/>
      <c r="M783" s="5"/>
      <c r="N783" s="112"/>
      <c r="R783" s="333"/>
      <c r="S783" s="5"/>
      <c r="T783" s="112"/>
      <c r="X783" s="333"/>
      <c r="Y783" s="5"/>
      <c r="AD783" s="333"/>
      <c r="AE783" s="5"/>
      <c r="AJ783" s="333"/>
      <c r="AK783" s="5"/>
      <c r="AP783" s="333"/>
      <c r="AQ783" s="5"/>
    </row>
    <row r="784" ht="15.75" customHeight="1">
      <c r="C784" s="4"/>
      <c r="D784" s="333"/>
      <c r="E784" s="5"/>
      <c r="F784" s="5"/>
      <c r="G784" s="5"/>
      <c r="H784" s="112"/>
      <c r="L784" s="4"/>
      <c r="M784" s="5"/>
      <c r="N784" s="112"/>
      <c r="R784" s="333"/>
      <c r="S784" s="5"/>
      <c r="T784" s="112"/>
      <c r="X784" s="333"/>
      <c r="Y784" s="5"/>
      <c r="AD784" s="333"/>
      <c r="AE784" s="5"/>
      <c r="AJ784" s="333"/>
      <c r="AK784" s="5"/>
      <c r="AP784" s="333"/>
      <c r="AQ784" s="5"/>
    </row>
    <row r="785" ht="15.75" customHeight="1">
      <c r="C785" s="4"/>
      <c r="D785" s="333"/>
      <c r="E785" s="5"/>
      <c r="F785" s="5"/>
      <c r="G785" s="5"/>
      <c r="H785" s="112"/>
      <c r="L785" s="4"/>
      <c r="M785" s="5"/>
      <c r="N785" s="112"/>
      <c r="R785" s="333"/>
      <c r="S785" s="5"/>
      <c r="T785" s="112"/>
      <c r="X785" s="333"/>
      <c r="Y785" s="5"/>
      <c r="AD785" s="333"/>
      <c r="AE785" s="5"/>
      <c r="AJ785" s="333"/>
      <c r="AK785" s="5"/>
      <c r="AP785" s="333"/>
      <c r="AQ785" s="5"/>
    </row>
    <row r="786" ht="15.75" customHeight="1">
      <c r="C786" s="4"/>
      <c r="D786" s="333"/>
      <c r="E786" s="5"/>
      <c r="F786" s="5"/>
      <c r="G786" s="5"/>
      <c r="H786" s="112"/>
      <c r="L786" s="4"/>
      <c r="M786" s="5"/>
      <c r="N786" s="112"/>
      <c r="R786" s="333"/>
      <c r="S786" s="5"/>
      <c r="T786" s="112"/>
      <c r="X786" s="333"/>
      <c r="Y786" s="5"/>
      <c r="AD786" s="333"/>
      <c r="AE786" s="5"/>
      <c r="AJ786" s="333"/>
      <c r="AK786" s="5"/>
      <c r="AP786" s="333"/>
      <c r="AQ786" s="5"/>
    </row>
    <row r="787" ht="15.75" customHeight="1">
      <c r="C787" s="4"/>
      <c r="D787" s="333"/>
      <c r="E787" s="5"/>
      <c r="F787" s="5"/>
      <c r="G787" s="5"/>
      <c r="H787" s="112"/>
      <c r="L787" s="4"/>
      <c r="M787" s="5"/>
      <c r="N787" s="112"/>
      <c r="R787" s="333"/>
      <c r="S787" s="5"/>
      <c r="T787" s="112"/>
      <c r="X787" s="333"/>
      <c r="Y787" s="5"/>
      <c r="AD787" s="333"/>
      <c r="AE787" s="5"/>
      <c r="AJ787" s="333"/>
      <c r="AK787" s="5"/>
      <c r="AP787" s="333"/>
      <c r="AQ787" s="5"/>
    </row>
    <row r="788" ht="15.75" customHeight="1">
      <c r="C788" s="4"/>
      <c r="D788" s="333"/>
      <c r="E788" s="5"/>
      <c r="F788" s="5"/>
      <c r="G788" s="5"/>
      <c r="H788" s="112"/>
      <c r="L788" s="4"/>
      <c r="M788" s="5"/>
      <c r="N788" s="112"/>
      <c r="R788" s="333"/>
      <c r="S788" s="5"/>
      <c r="T788" s="112"/>
      <c r="X788" s="333"/>
      <c r="Y788" s="5"/>
      <c r="AD788" s="333"/>
      <c r="AE788" s="5"/>
      <c r="AJ788" s="333"/>
      <c r="AK788" s="5"/>
      <c r="AP788" s="333"/>
      <c r="AQ788" s="5"/>
    </row>
    <row r="789" ht="15.75" customHeight="1">
      <c r="C789" s="4"/>
      <c r="D789" s="333"/>
      <c r="E789" s="5"/>
      <c r="F789" s="5"/>
      <c r="G789" s="5"/>
      <c r="H789" s="112"/>
      <c r="L789" s="4"/>
      <c r="M789" s="5"/>
      <c r="N789" s="112"/>
      <c r="R789" s="333"/>
      <c r="S789" s="5"/>
      <c r="T789" s="112"/>
      <c r="X789" s="333"/>
      <c r="Y789" s="5"/>
      <c r="AD789" s="333"/>
      <c r="AE789" s="5"/>
      <c r="AJ789" s="333"/>
      <c r="AK789" s="5"/>
      <c r="AP789" s="333"/>
      <c r="AQ789" s="5"/>
    </row>
    <row r="790" ht="15.75" customHeight="1">
      <c r="C790" s="4"/>
      <c r="D790" s="333"/>
      <c r="E790" s="5"/>
      <c r="F790" s="5"/>
      <c r="G790" s="5"/>
      <c r="H790" s="112"/>
      <c r="L790" s="4"/>
      <c r="M790" s="5"/>
      <c r="N790" s="112"/>
      <c r="R790" s="333"/>
      <c r="S790" s="5"/>
      <c r="T790" s="112"/>
      <c r="X790" s="333"/>
      <c r="Y790" s="5"/>
      <c r="AD790" s="333"/>
      <c r="AE790" s="5"/>
      <c r="AJ790" s="333"/>
      <c r="AK790" s="5"/>
      <c r="AP790" s="333"/>
      <c r="AQ790" s="5"/>
    </row>
    <row r="791" ht="15.75" customHeight="1">
      <c r="C791" s="4"/>
      <c r="D791" s="333"/>
      <c r="E791" s="5"/>
      <c r="F791" s="5"/>
      <c r="G791" s="5"/>
      <c r="H791" s="112"/>
      <c r="L791" s="4"/>
      <c r="M791" s="5"/>
      <c r="N791" s="112"/>
      <c r="R791" s="333"/>
      <c r="S791" s="5"/>
      <c r="T791" s="112"/>
      <c r="X791" s="333"/>
      <c r="Y791" s="5"/>
      <c r="AD791" s="333"/>
      <c r="AE791" s="5"/>
      <c r="AJ791" s="333"/>
      <c r="AK791" s="5"/>
      <c r="AP791" s="333"/>
      <c r="AQ791" s="5"/>
    </row>
    <row r="792" ht="15.75" customHeight="1">
      <c r="C792" s="4"/>
      <c r="D792" s="333"/>
      <c r="E792" s="5"/>
      <c r="F792" s="5"/>
      <c r="G792" s="5"/>
      <c r="H792" s="112"/>
      <c r="L792" s="4"/>
      <c r="M792" s="5"/>
      <c r="N792" s="112"/>
      <c r="R792" s="333"/>
      <c r="S792" s="5"/>
      <c r="T792" s="112"/>
      <c r="X792" s="333"/>
      <c r="Y792" s="5"/>
      <c r="AD792" s="333"/>
      <c r="AE792" s="5"/>
      <c r="AJ792" s="333"/>
      <c r="AK792" s="5"/>
      <c r="AP792" s="333"/>
      <c r="AQ792" s="5"/>
    </row>
    <row r="793" ht="15.75" customHeight="1">
      <c r="C793" s="4"/>
      <c r="D793" s="333"/>
      <c r="E793" s="5"/>
      <c r="F793" s="5"/>
      <c r="G793" s="5"/>
      <c r="H793" s="112"/>
      <c r="L793" s="4"/>
      <c r="M793" s="5"/>
      <c r="N793" s="112"/>
      <c r="R793" s="333"/>
      <c r="S793" s="5"/>
      <c r="T793" s="112"/>
      <c r="X793" s="333"/>
      <c r="Y793" s="5"/>
      <c r="AD793" s="333"/>
      <c r="AE793" s="5"/>
      <c r="AJ793" s="333"/>
      <c r="AK793" s="5"/>
      <c r="AP793" s="333"/>
      <c r="AQ793" s="5"/>
    </row>
    <row r="794" ht="15.75" customHeight="1">
      <c r="C794" s="4"/>
      <c r="D794" s="333"/>
      <c r="E794" s="5"/>
      <c r="F794" s="5"/>
      <c r="G794" s="5"/>
      <c r="H794" s="112"/>
      <c r="L794" s="4"/>
      <c r="M794" s="5"/>
      <c r="N794" s="112"/>
      <c r="R794" s="333"/>
      <c r="S794" s="5"/>
      <c r="T794" s="112"/>
      <c r="X794" s="333"/>
      <c r="Y794" s="5"/>
      <c r="AD794" s="333"/>
      <c r="AE794" s="5"/>
      <c r="AJ794" s="333"/>
      <c r="AK794" s="5"/>
      <c r="AP794" s="333"/>
      <c r="AQ794" s="5"/>
    </row>
    <row r="795" ht="15.75" customHeight="1">
      <c r="C795" s="4"/>
      <c r="D795" s="333"/>
      <c r="E795" s="5"/>
      <c r="F795" s="5"/>
      <c r="G795" s="5"/>
      <c r="H795" s="112"/>
      <c r="L795" s="4"/>
      <c r="M795" s="5"/>
      <c r="N795" s="112"/>
      <c r="R795" s="333"/>
      <c r="S795" s="5"/>
      <c r="T795" s="112"/>
      <c r="X795" s="333"/>
      <c r="Y795" s="5"/>
      <c r="AD795" s="333"/>
      <c r="AE795" s="5"/>
      <c r="AJ795" s="333"/>
      <c r="AK795" s="5"/>
      <c r="AP795" s="333"/>
      <c r="AQ795" s="5"/>
    </row>
    <row r="796" ht="15.75" customHeight="1">
      <c r="C796" s="4"/>
      <c r="D796" s="333"/>
      <c r="E796" s="5"/>
      <c r="F796" s="5"/>
      <c r="G796" s="5"/>
      <c r="H796" s="112"/>
      <c r="L796" s="4"/>
      <c r="M796" s="5"/>
      <c r="N796" s="112"/>
      <c r="R796" s="333"/>
      <c r="S796" s="5"/>
      <c r="T796" s="112"/>
      <c r="X796" s="333"/>
      <c r="Y796" s="5"/>
      <c r="AD796" s="333"/>
      <c r="AE796" s="5"/>
      <c r="AJ796" s="333"/>
      <c r="AK796" s="5"/>
      <c r="AP796" s="333"/>
      <c r="AQ796" s="5"/>
    </row>
    <row r="797" ht="15.75" customHeight="1">
      <c r="C797" s="4"/>
      <c r="D797" s="333"/>
      <c r="E797" s="5"/>
      <c r="F797" s="5"/>
      <c r="G797" s="5"/>
      <c r="H797" s="112"/>
      <c r="L797" s="4"/>
      <c r="M797" s="5"/>
      <c r="N797" s="112"/>
      <c r="R797" s="333"/>
      <c r="S797" s="5"/>
      <c r="T797" s="112"/>
      <c r="X797" s="333"/>
      <c r="Y797" s="5"/>
      <c r="AD797" s="333"/>
      <c r="AE797" s="5"/>
      <c r="AJ797" s="333"/>
      <c r="AK797" s="5"/>
      <c r="AP797" s="333"/>
      <c r="AQ797" s="5"/>
    </row>
    <row r="798" ht="15.75" customHeight="1">
      <c r="C798" s="4"/>
      <c r="D798" s="333"/>
      <c r="E798" s="5"/>
      <c r="F798" s="5"/>
      <c r="G798" s="5"/>
      <c r="H798" s="112"/>
      <c r="L798" s="4"/>
      <c r="M798" s="5"/>
      <c r="N798" s="112"/>
      <c r="R798" s="333"/>
      <c r="S798" s="5"/>
      <c r="T798" s="112"/>
      <c r="X798" s="333"/>
      <c r="Y798" s="5"/>
      <c r="AD798" s="333"/>
      <c r="AE798" s="5"/>
      <c r="AJ798" s="333"/>
      <c r="AK798" s="5"/>
      <c r="AP798" s="333"/>
      <c r="AQ798" s="5"/>
    </row>
    <row r="799" ht="15.75" customHeight="1">
      <c r="C799" s="4"/>
      <c r="D799" s="333"/>
      <c r="E799" s="5"/>
      <c r="F799" s="5"/>
      <c r="G799" s="5"/>
      <c r="H799" s="112"/>
      <c r="L799" s="4"/>
      <c r="M799" s="5"/>
      <c r="N799" s="112"/>
      <c r="R799" s="333"/>
      <c r="S799" s="5"/>
      <c r="T799" s="112"/>
      <c r="X799" s="333"/>
      <c r="Y799" s="5"/>
      <c r="AD799" s="333"/>
      <c r="AE799" s="5"/>
      <c r="AJ799" s="333"/>
      <c r="AK799" s="5"/>
      <c r="AP799" s="333"/>
      <c r="AQ799" s="5"/>
    </row>
    <row r="800" ht="15.75" customHeight="1">
      <c r="C800" s="4"/>
      <c r="D800" s="333"/>
      <c r="E800" s="5"/>
      <c r="F800" s="5"/>
      <c r="G800" s="5"/>
      <c r="H800" s="112"/>
      <c r="L800" s="4"/>
      <c r="M800" s="5"/>
      <c r="N800" s="112"/>
      <c r="R800" s="333"/>
      <c r="S800" s="5"/>
      <c r="T800" s="112"/>
      <c r="X800" s="333"/>
      <c r="Y800" s="5"/>
      <c r="AD800" s="333"/>
      <c r="AE800" s="5"/>
      <c r="AJ800" s="333"/>
      <c r="AK800" s="5"/>
      <c r="AP800" s="333"/>
      <c r="AQ800" s="5"/>
    </row>
    <row r="801" ht="15.75" customHeight="1">
      <c r="C801" s="4"/>
      <c r="D801" s="333"/>
      <c r="E801" s="5"/>
      <c r="F801" s="5"/>
      <c r="G801" s="5"/>
      <c r="H801" s="112"/>
      <c r="L801" s="4"/>
      <c r="M801" s="5"/>
      <c r="N801" s="112"/>
      <c r="R801" s="333"/>
      <c r="S801" s="5"/>
      <c r="T801" s="112"/>
      <c r="X801" s="333"/>
      <c r="Y801" s="5"/>
      <c r="AD801" s="333"/>
      <c r="AE801" s="5"/>
      <c r="AJ801" s="333"/>
      <c r="AK801" s="5"/>
      <c r="AP801" s="333"/>
      <c r="AQ801" s="5"/>
    </row>
    <row r="802" ht="15.75" customHeight="1">
      <c r="C802" s="4"/>
      <c r="D802" s="333"/>
      <c r="E802" s="5"/>
      <c r="F802" s="5"/>
      <c r="G802" s="5"/>
      <c r="H802" s="112"/>
      <c r="L802" s="4"/>
      <c r="M802" s="5"/>
      <c r="N802" s="112"/>
      <c r="R802" s="333"/>
      <c r="S802" s="5"/>
      <c r="T802" s="112"/>
      <c r="X802" s="333"/>
      <c r="Y802" s="5"/>
      <c r="AD802" s="333"/>
      <c r="AE802" s="5"/>
      <c r="AJ802" s="333"/>
      <c r="AK802" s="5"/>
      <c r="AP802" s="333"/>
      <c r="AQ802" s="5"/>
    </row>
    <row r="803" ht="15.75" customHeight="1">
      <c r="C803" s="4"/>
      <c r="D803" s="333"/>
      <c r="E803" s="5"/>
      <c r="F803" s="5"/>
      <c r="G803" s="5"/>
      <c r="H803" s="112"/>
      <c r="L803" s="4"/>
      <c r="M803" s="5"/>
      <c r="N803" s="112"/>
      <c r="R803" s="333"/>
      <c r="S803" s="5"/>
      <c r="T803" s="112"/>
      <c r="X803" s="333"/>
      <c r="Y803" s="5"/>
      <c r="AD803" s="333"/>
      <c r="AE803" s="5"/>
      <c r="AJ803" s="333"/>
      <c r="AK803" s="5"/>
      <c r="AP803" s="333"/>
      <c r="AQ803" s="5"/>
    </row>
    <row r="804" ht="15.75" customHeight="1">
      <c r="C804" s="4"/>
      <c r="D804" s="333"/>
      <c r="E804" s="5"/>
      <c r="F804" s="5"/>
      <c r="G804" s="5"/>
      <c r="H804" s="112"/>
      <c r="L804" s="4"/>
      <c r="M804" s="5"/>
      <c r="N804" s="112"/>
      <c r="R804" s="333"/>
      <c r="S804" s="5"/>
      <c r="T804" s="112"/>
      <c r="X804" s="333"/>
      <c r="Y804" s="5"/>
      <c r="AD804" s="333"/>
      <c r="AE804" s="5"/>
      <c r="AJ804" s="333"/>
      <c r="AK804" s="5"/>
      <c r="AP804" s="333"/>
      <c r="AQ804" s="5"/>
    </row>
    <row r="805" ht="15.75" customHeight="1">
      <c r="C805" s="4"/>
      <c r="D805" s="333"/>
      <c r="E805" s="5"/>
      <c r="F805" s="5"/>
      <c r="G805" s="5"/>
      <c r="H805" s="112"/>
      <c r="L805" s="4"/>
      <c r="M805" s="5"/>
      <c r="N805" s="112"/>
      <c r="R805" s="333"/>
      <c r="S805" s="5"/>
      <c r="T805" s="112"/>
      <c r="X805" s="333"/>
      <c r="Y805" s="5"/>
      <c r="AD805" s="333"/>
      <c r="AE805" s="5"/>
      <c r="AJ805" s="333"/>
      <c r="AK805" s="5"/>
      <c r="AP805" s="333"/>
      <c r="AQ805" s="5"/>
    </row>
    <row r="806" ht="15.75" customHeight="1">
      <c r="C806" s="4"/>
      <c r="D806" s="333"/>
      <c r="E806" s="5"/>
      <c r="F806" s="5"/>
      <c r="G806" s="5"/>
      <c r="H806" s="112"/>
      <c r="L806" s="4"/>
      <c r="M806" s="5"/>
      <c r="N806" s="112"/>
      <c r="R806" s="333"/>
      <c r="S806" s="5"/>
      <c r="T806" s="112"/>
      <c r="X806" s="333"/>
      <c r="Y806" s="5"/>
      <c r="AD806" s="333"/>
      <c r="AE806" s="5"/>
      <c r="AJ806" s="333"/>
      <c r="AK806" s="5"/>
      <c r="AP806" s="333"/>
      <c r="AQ806" s="5"/>
    </row>
    <row r="807" ht="15.75" customHeight="1">
      <c r="C807" s="4"/>
      <c r="D807" s="333"/>
      <c r="E807" s="5"/>
      <c r="F807" s="5"/>
      <c r="G807" s="5"/>
      <c r="H807" s="112"/>
      <c r="L807" s="4"/>
      <c r="M807" s="5"/>
      <c r="N807" s="112"/>
      <c r="R807" s="333"/>
      <c r="S807" s="5"/>
      <c r="T807" s="112"/>
      <c r="X807" s="333"/>
      <c r="Y807" s="5"/>
      <c r="AD807" s="333"/>
      <c r="AE807" s="5"/>
      <c r="AJ807" s="333"/>
      <c r="AK807" s="5"/>
      <c r="AP807" s="333"/>
      <c r="AQ807" s="5"/>
    </row>
    <row r="808" ht="15.75" customHeight="1">
      <c r="C808" s="4"/>
      <c r="D808" s="333"/>
      <c r="E808" s="5"/>
      <c r="F808" s="5"/>
      <c r="G808" s="5"/>
      <c r="H808" s="112"/>
      <c r="L808" s="4"/>
      <c r="M808" s="5"/>
      <c r="N808" s="112"/>
      <c r="R808" s="333"/>
      <c r="S808" s="5"/>
      <c r="T808" s="112"/>
      <c r="X808" s="333"/>
      <c r="Y808" s="5"/>
      <c r="AD808" s="333"/>
      <c r="AE808" s="5"/>
      <c r="AJ808" s="333"/>
      <c r="AK808" s="5"/>
      <c r="AP808" s="333"/>
      <c r="AQ808" s="5"/>
    </row>
    <row r="809" ht="15.75" customHeight="1">
      <c r="C809" s="4"/>
      <c r="D809" s="333"/>
      <c r="E809" s="5"/>
      <c r="F809" s="5"/>
      <c r="G809" s="5"/>
      <c r="H809" s="112"/>
      <c r="L809" s="4"/>
      <c r="M809" s="5"/>
      <c r="N809" s="112"/>
      <c r="R809" s="333"/>
      <c r="S809" s="5"/>
      <c r="T809" s="112"/>
      <c r="X809" s="333"/>
      <c r="Y809" s="5"/>
      <c r="AD809" s="333"/>
      <c r="AE809" s="5"/>
      <c r="AJ809" s="333"/>
      <c r="AK809" s="5"/>
      <c r="AP809" s="333"/>
      <c r="AQ809" s="5"/>
    </row>
    <row r="810" ht="15.75" customHeight="1">
      <c r="C810" s="4"/>
      <c r="D810" s="333"/>
      <c r="E810" s="5"/>
      <c r="F810" s="5"/>
      <c r="G810" s="5"/>
      <c r="H810" s="112"/>
      <c r="L810" s="4"/>
      <c r="M810" s="5"/>
      <c r="N810" s="112"/>
      <c r="R810" s="333"/>
      <c r="S810" s="5"/>
      <c r="T810" s="112"/>
      <c r="X810" s="333"/>
      <c r="Y810" s="5"/>
      <c r="AD810" s="333"/>
      <c r="AE810" s="5"/>
      <c r="AJ810" s="333"/>
      <c r="AK810" s="5"/>
      <c r="AP810" s="333"/>
      <c r="AQ810" s="5"/>
    </row>
    <row r="811" ht="15.75" customHeight="1">
      <c r="C811" s="4"/>
      <c r="D811" s="333"/>
      <c r="E811" s="5"/>
      <c r="F811" s="5"/>
      <c r="G811" s="5"/>
      <c r="H811" s="112"/>
      <c r="L811" s="4"/>
      <c r="M811" s="5"/>
      <c r="N811" s="112"/>
      <c r="R811" s="333"/>
      <c r="S811" s="5"/>
      <c r="T811" s="112"/>
      <c r="X811" s="333"/>
      <c r="Y811" s="5"/>
      <c r="AD811" s="333"/>
      <c r="AE811" s="5"/>
      <c r="AJ811" s="333"/>
      <c r="AK811" s="5"/>
      <c r="AP811" s="333"/>
      <c r="AQ811" s="5"/>
    </row>
    <row r="812" ht="15.75" customHeight="1">
      <c r="C812" s="4"/>
      <c r="D812" s="333"/>
      <c r="E812" s="5"/>
      <c r="F812" s="5"/>
      <c r="G812" s="5"/>
      <c r="H812" s="112"/>
      <c r="L812" s="4"/>
      <c r="M812" s="5"/>
      <c r="N812" s="112"/>
      <c r="R812" s="333"/>
      <c r="S812" s="5"/>
      <c r="T812" s="112"/>
      <c r="X812" s="333"/>
      <c r="Y812" s="5"/>
      <c r="AD812" s="333"/>
      <c r="AE812" s="5"/>
      <c r="AJ812" s="333"/>
      <c r="AK812" s="5"/>
      <c r="AP812" s="333"/>
      <c r="AQ812" s="5"/>
    </row>
    <row r="813" ht="15.75" customHeight="1">
      <c r="C813" s="4"/>
      <c r="D813" s="333"/>
      <c r="E813" s="5"/>
      <c r="F813" s="5"/>
      <c r="G813" s="5"/>
      <c r="H813" s="112"/>
      <c r="L813" s="4"/>
      <c r="M813" s="5"/>
      <c r="N813" s="112"/>
      <c r="R813" s="333"/>
      <c r="S813" s="5"/>
      <c r="T813" s="112"/>
      <c r="X813" s="333"/>
      <c r="Y813" s="5"/>
      <c r="AD813" s="333"/>
      <c r="AE813" s="5"/>
      <c r="AJ813" s="333"/>
      <c r="AK813" s="5"/>
      <c r="AP813" s="333"/>
      <c r="AQ813" s="5"/>
    </row>
    <row r="814" ht="15.75" customHeight="1">
      <c r="C814" s="4"/>
      <c r="D814" s="333"/>
      <c r="E814" s="5"/>
      <c r="F814" s="5"/>
      <c r="G814" s="5"/>
      <c r="H814" s="112"/>
      <c r="L814" s="4"/>
      <c r="M814" s="5"/>
      <c r="N814" s="112"/>
      <c r="R814" s="333"/>
      <c r="S814" s="5"/>
      <c r="T814" s="112"/>
      <c r="X814" s="333"/>
      <c r="Y814" s="5"/>
      <c r="AD814" s="333"/>
      <c r="AE814" s="5"/>
      <c r="AJ814" s="333"/>
      <c r="AK814" s="5"/>
      <c r="AP814" s="333"/>
      <c r="AQ814" s="5"/>
    </row>
    <row r="815" ht="15.75" customHeight="1">
      <c r="C815" s="4"/>
      <c r="D815" s="333"/>
      <c r="E815" s="5"/>
      <c r="F815" s="5"/>
      <c r="G815" s="5"/>
      <c r="H815" s="112"/>
      <c r="L815" s="4"/>
      <c r="M815" s="5"/>
      <c r="N815" s="112"/>
      <c r="R815" s="333"/>
      <c r="S815" s="5"/>
      <c r="T815" s="112"/>
      <c r="X815" s="333"/>
      <c r="Y815" s="5"/>
      <c r="AD815" s="333"/>
      <c r="AE815" s="5"/>
      <c r="AJ815" s="333"/>
      <c r="AK815" s="5"/>
      <c r="AP815" s="333"/>
      <c r="AQ815" s="5"/>
    </row>
    <row r="816" ht="15.75" customHeight="1">
      <c r="C816" s="4"/>
      <c r="D816" s="333"/>
      <c r="E816" s="5"/>
      <c r="F816" s="5"/>
      <c r="G816" s="5"/>
      <c r="H816" s="112"/>
      <c r="L816" s="4"/>
      <c r="M816" s="5"/>
      <c r="N816" s="112"/>
      <c r="R816" s="333"/>
      <c r="S816" s="5"/>
      <c r="T816" s="112"/>
      <c r="X816" s="333"/>
      <c r="Y816" s="5"/>
      <c r="AD816" s="333"/>
      <c r="AE816" s="5"/>
      <c r="AJ816" s="333"/>
      <c r="AK816" s="5"/>
      <c r="AP816" s="333"/>
      <c r="AQ816" s="5"/>
    </row>
    <row r="817" ht="15.75" customHeight="1">
      <c r="C817" s="4"/>
      <c r="D817" s="333"/>
      <c r="E817" s="5"/>
      <c r="F817" s="5"/>
      <c r="G817" s="5"/>
      <c r="H817" s="112"/>
      <c r="L817" s="4"/>
      <c r="M817" s="5"/>
      <c r="N817" s="112"/>
      <c r="R817" s="333"/>
      <c r="S817" s="5"/>
      <c r="T817" s="112"/>
      <c r="X817" s="333"/>
      <c r="Y817" s="5"/>
      <c r="AD817" s="333"/>
      <c r="AE817" s="5"/>
      <c r="AJ817" s="333"/>
      <c r="AK817" s="5"/>
      <c r="AP817" s="333"/>
      <c r="AQ817" s="5"/>
    </row>
    <row r="818" ht="15.75" customHeight="1">
      <c r="C818" s="4"/>
      <c r="D818" s="333"/>
      <c r="E818" s="5"/>
      <c r="F818" s="5"/>
      <c r="G818" s="5"/>
      <c r="H818" s="112"/>
      <c r="L818" s="4"/>
      <c r="M818" s="5"/>
      <c r="N818" s="112"/>
      <c r="R818" s="333"/>
      <c r="S818" s="5"/>
      <c r="T818" s="112"/>
      <c r="X818" s="333"/>
      <c r="Y818" s="5"/>
      <c r="AD818" s="333"/>
      <c r="AE818" s="5"/>
      <c r="AJ818" s="333"/>
      <c r="AK818" s="5"/>
      <c r="AP818" s="333"/>
      <c r="AQ818" s="5"/>
    </row>
    <row r="819" ht="15.75" customHeight="1">
      <c r="C819" s="4"/>
      <c r="D819" s="333"/>
      <c r="E819" s="5"/>
      <c r="F819" s="5"/>
      <c r="G819" s="5"/>
      <c r="H819" s="112"/>
      <c r="L819" s="4"/>
      <c r="M819" s="5"/>
      <c r="N819" s="112"/>
      <c r="R819" s="333"/>
      <c r="S819" s="5"/>
      <c r="T819" s="112"/>
      <c r="X819" s="333"/>
      <c r="Y819" s="5"/>
      <c r="AD819" s="333"/>
      <c r="AE819" s="5"/>
      <c r="AJ819" s="333"/>
      <c r="AK819" s="5"/>
      <c r="AP819" s="333"/>
      <c r="AQ819" s="5"/>
    </row>
    <row r="820" ht="15.75" customHeight="1">
      <c r="C820" s="4"/>
      <c r="D820" s="333"/>
      <c r="E820" s="5"/>
      <c r="F820" s="5"/>
      <c r="G820" s="5"/>
      <c r="H820" s="112"/>
      <c r="L820" s="4"/>
      <c r="M820" s="5"/>
      <c r="N820" s="112"/>
      <c r="R820" s="333"/>
      <c r="S820" s="5"/>
      <c r="T820" s="112"/>
      <c r="X820" s="333"/>
      <c r="Y820" s="5"/>
      <c r="AD820" s="333"/>
      <c r="AE820" s="5"/>
      <c r="AJ820" s="333"/>
      <c r="AK820" s="5"/>
      <c r="AP820" s="333"/>
      <c r="AQ820" s="5"/>
    </row>
    <row r="821" ht="15.75" customHeight="1">
      <c r="C821" s="4"/>
      <c r="D821" s="333"/>
      <c r="E821" s="5"/>
      <c r="F821" s="5"/>
      <c r="G821" s="5"/>
      <c r="H821" s="112"/>
      <c r="L821" s="4"/>
      <c r="M821" s="5"/>
      <c r="N821" s="112"/>
      <c r="R821" s="333"/>
      <c r="S821" s="5"/>
      <c r="T821" s="112"/>
      <c r="X821" s="333"/>
      <c r="Y821" s="5"/>
      <c r="AD821" s="333"/>
      <c r="AE821" s="5"/>
      <c r="AJ821" s="333"/>
      <c r="AK821" s="5"/>
      <c r="AP821" s="333"/>
      <c r="AQ821" s="5"/>
    </row>
    <row r="822" ht="15.75" customHeight="1">
      <c r="C822" s="4"/>
      <c r="D822" s="333"/>
      <c r="E822" s="5"/>
      <c r="F822" s="5"/>
      <c r="G822" s="5"/>
      <c r="H822" s="112"/>
      <c r="L822" s="4"/>
      <c r="M822" s="5"/>
      <c r="N822" s="112"/>
      <c r="R822" s="333"/>
      <c r="S822" s="5"/>
      <c r="T822" s="112"/>
      <c r="X822" s="333"/>
      <c r="Y822" s="5"/>
      <c r="AD822" s="333"/>
      <c r="AE822" s="5"/>
      <c r="AJ822" s="333"/>
      <c r="AK822" s="5"/>
      <c r="AP822" s="333"/>
      <c r="AQ822" s="5"/>
    </row>
    <row r="823" ht="15.75" customHeight="1">
      <c r="C823" s="4"/>
      <c r="D823" s="333"/>
      <c r="E823" s="5"/>
      <c r="F823" s="5"/>
      <c r="G823" s="5"/>
      <c r="H823" s="112"/>
      <c r="L823" s="4"/>
      <c r="M823" s="5"/>
      <c r="N823" s="112"/>
      <c r="R823" s="333"/>
      <c r="S823" s="5"/>
      <c r="T823" s="112"/>
      <c r="X823" s="333"/>
      <c r="Y823" s="5"/>
      <c r="AD823" s="333"/>
      <c r="AE823" s="5"/>
      <c r="AJ823" s="333"/>
      <c r="AK823" s="5"/>
      <c r="AP823" s="333"/>
      <c r="AQ823" s="5"/>
    </row>
    <row r="824" ht="15.75" customHeight="1">
      <c r="C824" s="4"/>
      <c r="D824" s="333"/>
      <c r="E824" s="5"/>
      <c r="F824" s="5"/>
      <c r="G824" s="5"/>
      <c r="H824" s="112"/>
      <c r="L824" s="4"/>
      <c r="M824" s="5"/>
      <c r="N824" s="112"/>
      <c r="R824" s="333"/>
      <c r="S824" s="5"/>
      <c r="T824" s="112"/>
      <c r="X824" s="333"/>
      <c r="Y824" s="5"/>
      <c r="AD824" s="333"/>
      <c r="AE824" s="5"/>
      <c r="AJ824" s="333"/>
      <c r="AK824" s="5"/>
      <c r="AP824" s="333"/>
      <c r="AQ824" s="5"/>
    </row>
    <row r="825" ht="15.75" customHeight="1">
      <c r="C825" s="4"/>
      <c r="D825" s="333"/>
      <c r="E825" s="5"/>
      <c r="F825" s="5"/>
      <c r="G825" s="5"/>
      <c r="H825" s="112"/>
      <c r="L825" s="4"/>
      <c r="M825" s="5"/>
      <c r="N825" s="112"/>
      <c r="R825" s="333"/>
      <c r="S825" s="5"/>
      <c r="T825" s="112"/>
      <c r="X825" s="333"/>
      <c r="Y825" s="5"/>
      <c r="AD825" s="333"/>
      <c r="AE825" s="5"/>
      <c r="AJ825" s="333"/>
      <c r="AK825" s="5"/>
      <c r="AP825" s="333"/>
      <c r="AQ825" s="5"/>
    </row>
    <row r="826" ht="15.75" customHeight="1">
      <c r="C826" s="4"/>
      <c r="D826" s="333"/>
      <c r="E826" s="5"/>
      <c r="F826" s="5"/>
      <c r="G826" s="5"/>
      <c r="H826" s="112"/>
      <c r="L826" s="4"/>
      <c r="M826" s="5"/>
      <c r="N826" s="112"/>
      <c r="R826" s="333"/>
      <c r="S826" s="5"/>
      <c r="T826" s="112"/>
      <c r="X826" s="333"/>
      <c r="Y826" s="5"/>
      <c r="AD826" s="333"/>
      <c r="AE826" s="5"/>
      <c r="AJ826" s="333"/>
      <c r="AK826" s="5"/>
      <c r="AP826" s="333"/>
      <c r="AQ826" s="5"/>
    </row>
    <row r="827" ht="15.75" customHeight="1">
      <c r="C827" s="4"/>
      <c r="D827" s="333"/>
      <c r="E827" s="5"/>
      <c r="F827" s="5"/>
      <c r="G827" s="5"/>
      <c r="H827" s="112"/>
      <c r="L827" s="4"/>
      <c r="M827" s="5"/>
      <c r="N827" s="112"/>
      <c r="R827" s="333"/>
      <c r="S827" s="5"/>
      <c r="T827" s="112"/>
      <c r="X827" s="333"/>
      <c r="Y827" s="5"/>
      <c r="AD827" s="333"/>
      <c r="AE827" s="5"/>
      <c r="AJ827" s="333"/>
      <c r="AK827" s="5"/>
      <c r="AP827" s="333"/>
      <c r="AQ827" s="5"/>
    </row>
    <row r="828" ht="15.75" customHeight="1">
      <c r="C828" s="4"/>
      <c r="D828" s="333"/>
      <c r="E828" s="5"/>
      <c r="F828" s="5"/>
      <c r="G828" s="5"/>
      <c r="H828" s="112"/>
      <c r="L828" s="4"/>
      <c r="M828" s="5"/>
      <c r="N828" s="112"/>
      <c r="R828" s="333"/>
      <c r="S828" s="5"/>
      <c r="T828" s="112"/>
      <c r="X828" s="333"/>
      <c r="Y828" s="5"/>
      <c r="AD828" s="333"/>
      <c r="AE828" s="5"/>
      <c r="AJ828" s="333"/>
      <c r="AK828" s="5"/>
      <c r="AP828" s="333"/>
      <c r="AQ828" s="5"/>
    </row>
    <row r="829" ht="15.75" customHeight="1">
      <c r="C829" s="4"/>
      <c r="D829" s="333"/>
      <c r="E829" s="5"/>
      <c r="F829" s="5"/>
      <c r="G829" s="5"/>
      <c r="H829" s="112"/>
      <c r="L829" s="4"/>
      <c r="M829" s="5"/>
      <c r="N829" s="112"/>
      <c r="R829" s="333"/>
      <c r="S829" s="5"/>
      <c r="T829" s="112"/>
      <c r="X829" s="333"/>
      <c r="Y829" s="5"/>
      <c r="AD829" s="333"/>
      <c r="AE829" s="5"/>
      <c r="AJ829" s="333"/>
      <c r="AK829" s="5"/>
      <c r="AP829" s="333"/>
      <c r="AQ829" s="5"/>
    </row>
    <row r="830" ht="15.75" customHeight="1">
      <c r="C830" s="4"/>
      <c r="D830" s="333"/>
      <c r="E830" s="5"/>
      <c r="F830" s="5"/>
      <c r="G830" s="5"/>
      <c r="H830" s="112"/>
      <c r="L830" s="4"/>
      <c r="M830" s="5"/>
      <c r="N830" s="112"/>
      <c r="R830" s="333"/>
      <c r="S830" s="5"/>
      <c r="T830" s="112"/>
      <c r="X830" s="333"/>
      <c r="Y830" s="5"/>
      <c r="AD830" s="333"/>
      <c r="AE830" s="5"/>
      <c r="AJ830" s="333"/>
      <c r="AK830" s="5"/>
      <c r="AP830" s="333"/>
      <c r="AQ830" s="5"/>
    </row>
    <row r="831" ht="15.75" customHeight="1">
      <c r="C831" s="4"/>
      <c r="D831" s="333"/>
      <c r="E831" s="5"/>
      <c r="F831" s="5"/>
      <c r="G831" s="5"/>
      <c r="H831" s="112"/>
      <c r="L831" s="4"/>
      <c r="M831" s="5"/>
      <c r="N831" s="112"/>
      <c r="R831" s="333"/>
      <c r="S831" s="5"/>
      <c r="T831" s="112"/>
      <c r="X831" s="333"/>
      <c r="Y831" s="5"/>
      <c r="AD831" s="333"/>
      <c r="AE831" s="5"/>
      <c r="AJ831" s="333"/>
      <c r="AK831" s="5"/>
      <c r="AP831" s="333"/>
      <c r="AQ831" s="5"/>
    </row>
    <row r="832" ht="15.75" customHeight="1">
      <c r="C832" s="4"/>
      <c r="D832" s="333"/>
      <c r="E832" s="5"/>
      <c r="F832" s="5"/>
      <c r="G832" s="5"/>
      <c r="H832" s="112"/>
      <c r="L832" s="4"/>
      <c r="M832" s="5"/>
      <c r="N832" s="112"/>
      <c r="R832" s="333"/>
      <c r="S832" s="5"/>
      <c r="T832" s="112"/>
      <c r="X832" s="333"/>
      <c r="Y832" s="5"/>
      <c r="AD832" s="333"/>
      <c r="AE832" s="5"/>
      <c r="AJ832" s="333"/>
      <c r="AK832" s="5"/>
      <c r="AP832" s="333"/>
      <c r="AQ832" s="5"/>
    </row>
    <row r="833" ht="15.75" customHeight="1">
      <c r="C833" s="4"/>
      <c r="D833" s="333"/>
      <c r="E833" s="5"/>
      <c r="F833" s="5"/>
      <c r="G833" s="5"/>
      <c r="H833" s="112"/>
      <c r="L833" s="4"/>
      <c r="M833" s="5"/>
      <c r="N833" s="112"/>
      <c r="R833" s="333"/>
      <c r="S833" s="5"/>
      <c r="T833" s="112"/>
      <c r="X833" s="333"/>
      <c r="Y833" s="5"/>
      <c r="AD833" s="333"/>
      <c r="AE833" s="5"/>
      <c r="AJ833" s="333"/>
      <c r="AK833" s="5"/>
      <c r="AP833" s="333"/>
      <c r="AQ833" s="5"/>
    </row>
    <row r="834" ht="15.75" customHeight="1">
      <c r="C834" s="4"/>
      <c r="D834" s="333"/>
      <c r="E834" s="5"/>
      <c r="F834" s="5"/>
      <c r="G834" s="5"/>
      <c r="H834" s="112"/>
      <c r="L834" s="4"/>
      <c r="M834" s="5"/>
      <c r="N834" s="112"/>
      <c r="R834" s="333"/>
      <c r="S834" s="5"/>
      <c r="T834" s="112"/>
      <c r="X834" s="333"/>
      <c r="Y834" s="5"/>
      <c r="AD834" s="333"/>
      <c r="AE834" s="5"/>
      <c r="AJ834" s="333"/>
      <c r="AK834" s="5"/>
      <c r="AP834" s="333"/>
      <c r="AQ834" s="5"/>
    </row>
    <row r="835" ht="15.75" customHeight="1">
      <c r="C835" s="4"/>
      <c r="D835" s="333"/>
      <c r="E835" s="5"/>
      <c r="F835" s="5"/>
      <c r="G835" s="5"/>
      <c r="H835" s="112"/>
      <c r="L835" s="4"/>
      <c r="M835" s="5"/>
      <c r="N835" s="112"/>
      <c r="R835" s="333"/>
      <c r="S835" s="5"/>
      <c r="T835" s="112"/>
      <c r="X835" s="333"/>
      <c r="Y835" s="5"/>
      <c r="AD835" s="333"/>
      <c r="AE835" s="5"/>
      <c r="AJ835" s="333"/>
      <c r="AK835" s="5"/>
      <c r="AP835" s="333"/>
      <c r="AQ835" s="5"/>
    </row>
    <row r="836" ht="15.75" customHeight="1">
      <c r="C836" s="4"/>
      <c r="D836" s="333"/>
      <c r="E836" s="5"/>
      <c r="F836" s="5"/>
      <c r="G836" s="5"/>
      <c r="H836" s="112"/>
      <c r="L836" s="4"/>
      <c r="M836" s="5"/>
      <c r="N836" s="112"/>
      <c r="R836" s="333"/>
      <c r="S836" s="5"/>
      <c r="T836" s="112"/>
      <c r="X836" s="333"/>
      <c r="Y836" s="5"/>
      <c r="AD836" s="333"/>
      <c r="AE836" s="5"/>
      <c r="AJ836" s="333"/>
      <c r="AK836" s="5"/>
      <c r="AP836" s="333"/>
      <c r="AQ836" s="5"/>
    </row>
    <row r="837" ht="15.75" customHeight="1">
      <c r="C837" s="4"/>
      <c r="D837" s="333"/>
      <c r="E837" s="5"/>
      <c r="F837" s="5"/>
      <c r="G837" s="5"/>
      <c r="H837" s="112"/>
      <c r="L837" s="4"/>
      <c r="M837" s="5"/>
      <c r="N837" s="112"/>
      <c r="R837" s="333"/>
      <c r="S837" s="5"/>
      <c r="T837" s="112"/>
      <c r="X837" s="333"/>
      <c r="Y837" s="5"/>
      <c r="AD837" s="333"/>
      <c r="AE837" s="5"/>
      <c r="AJ837" s="333"/>
      <c r="AK837" s="5"/>
      <c r="AP837" s="333"/>
      <c r="AQ837" s="5"/>
    </row>
    <row r="838" ht="15.75" customHeight="1">
      <c r="C838" s="4"/>
      <c r="D838" s="333"/>
      <c r="E838" s="5"/>
      <c r="F838" s="5"/>
      <c r="G838" s="5"/>
      <c r="H838" s="112"/>
      <c r="L838" s="4"/>
      <c r="M838" s="5"/>
      <c r="N838" s="112"/>
      <c r="R838" s="333"/>
      <c r="S838" s="5"/>
      <c r="T838" s="112"/>
      <c r="X838" s="333"/>
      <c r="Y838" s="5"/>
      <c r="AD838" s="333"/>
      <c r="AE838" s="5"/>
      <c r="AJ838" s="333"/>
      <c r="AK838" s="5"/>
      <c r="AP838" s="333"/>
      <c r="AQ838" s="5"/>
    </row>
    <row r="839" ht="15.75" customHeight="1">
      <c r="C839" s="4"/>
      <c r="D839" s="333"/>
      <c r="E839" s="5"/>
      <c r="F839" s="5"/>
      <c r="G839" s="5"/>
      <c r="H839" s="112"/>
      <c r="L839" s="4"/>
      <c r="M839" s="5"/>
      <c r="N839" s="112"/>
      <c r="R839" s="333"/>
      <c r="S839" s="5"/>
      <c r="T839" s="112"/>
      <c r="X839" s="333"/>
      <c r="Y839" s="5"/>
      <c r="AD839" s="333"/>
      <c r="AE839" s="5"/>
      <c r="AJ839" s="333"/>
      <c r="AK839" s="5"/>
      <c r="AP839" s="333"/>
      <c r="AQ839" s="5"/>
    </row>
    <row r="840" ht="15.75" customHeight="1">
      <c r="C840" s="4"/>
      <c r="D840" s="333"/>
      <c r="E840" s="5"/>
      <c r="F840" s="5"/>
      <c r="G840" s="5"/>
      <c r="H840" s="112"/>
      <c r="L840" s="4"/>
      <c r="M840" s="5"/>
      <c r="N840" s="112"/>
      <c r="R840" s="333"/>
      <c r="S840" s="5"/>
      <c r="T840" s="112"/>
      <c r="X840" s="333"/>
      <c r="Y840" s="5"/>
      <c r="AD840" s="333"/>
      <c r="AE840" s="5"/>
      <c r="AJ840" s="333"/>
      <c r="AK840" s="5"/>
      <c r="AP840" s="333"/>
      <c r="AQ840" s="5"/>
    </row>
    <row r="841" ht="15.75" customHeight="1">
      <c r="C841" s="4"/>
      <c r="D841" s="333"/>
      <c r="E841" s="5"/>
      <c r="F841" s="5"/>
      <c r="G841" s="5"/>
      <c r="H841" s="112"/>
      <c r="L841" s="4"/>
      <c r="M841" s="5"/>
      <c r="N841" s="112"/>
      <c r="R841" s="333"/>
      <c r="S841" s="5"/>
      <c r="T841" s="112"/>
      <c r="X841" s="333"/>
      <c r="Y841" s="5"/>
      <c r="AD841" s="333"/>
      <c r="AE841" s="5"/>
      <c r="AJ841" s="333"/>
      <c r="AK841" s="5"/>
      <c r="AP841" s="333"/>
      <c r="AQ841" s="5"/>
    </row>
    <row r="842" ht="15.75" customHeight="1">
      <c r="C842" s="4"/>
      <c r="D842" s="333"/>
      <c r="E842" s="5"/>
      <c r="F842" s="5"/>
      <c r="G842" s="5"/>
      <c r="H842" s="112"/>
      <c r="L842" s="4"/>
      <c r="M842" s="5"/>
      <c r="N842" s="112"/>
      <c r="R842" s="333"/>
      <c r="S842" s="5"/>
      <c r="T842" s="112"/>
      <c r="X842" s="333"/>
      <c r="Y842" s="5"/>
      <c r="AD842" s="333"/>
      <c r="AE842" s="5"/>
      <c r="AJ842" s="333"/>
      <c r="AK842" s="5"/>
      <c r="AP842" s="333"/>
      <c r="AQ842" s="5"/>
    </row>
    <row r="843" ht="15.75" customHeight="1">
      <c r="C843" s="4"/>
      <c r="D843" s="333"/>
      <c r="E843" s="5"/>
      <c r="F843" s="5"/>
      <c r="G843" s="5"/>
      <c r="H843" s="112"/>
      <c r="L843" s="4"/>
      <c r="M843" s="5"/>
      <c r="N843" s="112"/>
      <c r="R843" s="333"/>
      <c r="S843" s="5"/>
      <c r="T843" s="112"/>
      <c r="X843" s="333"/>
      <c r="Y843" s="5"/>
      <c r="AD843" s="333"/>
      <c r="AE843" s="5"/>
      <c r="AJ843" s="333"/>
      <c r="AK843" s="5"/>
      <c r="AP843" s="333"/>
      <c r="AQ843" s="5"/>
    </row>
    <row r="844" ht="15.75" customHeight="1">
      <c r="C844" s="4"/>
      <c r="D844" s="333"/>
      <c r="E844" s="5"/>
      <c r="F844" s="5"/>
      <c r="G844" s="5"/>
      <c r="H844" s="112"/>
      <c r="L844" s="4"/>
      <c r="M844" s="5"/>
      <c r="N844" s="112"/>
      <c r="R844" s="333"/>
      <c r="S844" s="5"/>
      <c r="T844" s="112"/>
      <c r="X844" s="333"/>
      <c r="Y844" s="5"/>
      <c r="AD844" s="333"/>
      <c r="AE844" s="5"/>
      <c r="AJ844" s="333"/>
      <c r="AK844" s="5"/>
      <c r="AP844" s="333"/>
      <c r="AQ844" s="5"/>
    </row>
    <row r="845" ht="15.75" customHeight="1">
      <c r="C845" s="4"/>
      <c r="D845" s="333"/>
      <c r="E845" s="5"/>
      <c r="F845" s="5"/>
      <c r="G845" s="5"/>
      <c r="H845" s="112"/>
      <c r="L845" s="4"/>
      <c r="M845" s="5"/>
      <c r="N845" s="112"/>
      <c r="R845" s="333"/>
      <c r="S845" s="5"/>
      <c r="T845" s="112"/>
      <c r="X845" s="333"/>
      <c r="Y845" s="5"/>
      <c r="AD845" s="333"/>
      <c r="AE845" s="5"/>
      <c r="AJ845" s="333"/>
      <c r="AK845" s="5"/>
      <c r="AP845" s="333"/>
      <c r="AQ845" s="5"/>
    </row>
    <row r="846" ht="15.75" customHeight="1">
      <c r="C846" s="4"/>
      <c r="D846" s="333"/>
      <c r="E846" s="5"/>
      <c r="F846" s="5"/>
      <c r="G846" s="5"/>
      <c r="H846" s="112"/>
      <c r="L846" s="4"/>
      <c r="M846" s="5"/>
      <c r="N846" s="112"/>
      <c r="R846" s="333"/>
      <c r="S846" s="5"/>
      <c r="T846" s="112"/>
      <c r="X846" s="333"/>
      <c r="Y846" s="5"/>
      <c r="AD846" s="333"/>
      <c r="AE846" s="5"/>
      <c r="AJ846" s="333"/>
      <c r="AK846" s="5"/>
      <c r="AP846" s="333"/>
      <c r="AQ846" s="5"/>
    </row>
    <row r="847" ht="15.75" customHeight="1">
      <c r="C847" s="4"/>
      <c r="D847" s="333"/>
      <c r="E847" s="5"/>
      <c r="F847" s="5"/>
      <c r="G847" s="5"/>
      <c r="H847" s="112"/>
      <c r="L847" s="4"/>
      <c r="M847" s="5"/>
      <c r="N847" s="112"/>
      <c r="R847" s="333"/>
      <c r="S847" s="5"/>
      <c r="T847" s="112"/>
      <c r="X847" s="333"/>
      <c r="Y847" s="5"/>
      <c r="AD847" s="333"/>
      <c r="AE847" s="5"/>
      <c r="AJ847" s="333"/>
      <c r="AK847" s="5"/>
      <c r="AP847" s="333"/>
      <c r="AQ847" s="5"/>
    </row>
    <row r="848" ht="15.75" customHeight="1">
      <c r="C848" s="4"/>
      <c r="D848" s="333"/>
      <c r="E848" s="5"/>
      <c r="F848" s="5"/>
      <c r="G848" s="5"/>
      <c r="H848" s="112"/>
      <c r="L848" s="4"/>
      <c r="M848" s="5"/>
      <c r="N848" s="112"/>
      <c r="R848" s="333"/>
      <c r="S848" s="5"/>
      <c r="T848" s="112"/>
      <c r="X848" s="333"/>
      <c r="Y848" s="5"/>
      <c r="AD848" s="333"/>
      <c r="AE848" s="5"/>
      <c r="AJ848" s="333"/>
      <c r="AK848" s="5"/>
      <c r="AP848" s="333"/>
      <c r="AQ848" s="5"/>
    </row>
    <row r="849" ht="15.75" customHeight="1">
      <c r="C849" s="4"/>
      <c r="D849" s="333"/>
      <c r="E849" s="5"/>
      <c r="F849" s="5"/>
      <c r="G849" s="5"/>
      <c r="H849" s="112"/>
      <c r="L849" s="4"/>
      <c r="M849" s="5"/>
      <c r="N849" s="112"/>
      <c r="R849" s="333"/>
      <c r="S849" s="5"/>
      <c r="T849" s="112"/>
      <c r="X849" s="333"/>
      <c r="Y849" s="5"/>
      <c r="AD849" s="333"/>
      <c r="AE849" s="5"/>
      <c r="AJ849" s="333"/>
      <c r="AK849" s="5"/>
      <c r="AP849" s="333"/>
      <c r="AQ849" s="5"/>
    </row>
    <row r="850" ht="15.75" customHeight="1">
      <c r="C850" s="4"/>
      <c r="D850" s="333"/>
      <c r="E850" s="5"/>
      <c r="F850" s="5"/>
      <c r="G850" s="5"/>
      <c r="H850" s="112"/>
      <c r="L850" s="4"/>
      <c r="M850" s="5"/>
      <c r="N850" s="112"/>
      <c r="R850" s="333"/>
      <c r="S850" s="5"/>
      <c r="T850" s="112"/>
      <c r="X850" s="333"/>
      <c r="Y850" s="5"/>
      <c r="AD850" s="333"/>
      <c r="AE850" s="5"/>
      <c r="AJ850" s="333"/>
      <c r="AK850" s="5"/>
      <c r="AP850" s="333"/>
      <c r="AQ850" s="5"/>
    </row>
    <row r="851" ht="15.75" customHeight="1">
      <c r="C851" s="4"/>
      <c r="D851" s="333"/>
      <c r="E851" s="5"/>
      <c r="F851" s="5"/>
      <c r="G851" s="5"/>
      <c r="H851" s="112"/>
      <c r="L851" s="4"/>
      <c r="M851" s="5"/>
      <c r="N851" s="112"/>
      <c r="R851" s="333"/>
      <c r="S851" s="5"/>
      <c r="T851" s="112"/>
      <c r="X851" s="333"/>
      <c r="Y851" s="5"/>
      <c r="AD851" s="333"/>
      <c r="AE851" s="5"/>
      <c r="AJ851" s="333"/>
      <c r="AK851" s="5"/>
      <c r="AP851" s="333"/>
      <c r="AQ851" s="5"/>
    </row>
    <row r="852" ht="15.75" customHeight="1">
      <c r="C852" s="4"/>
      <c r="D852" s="333"/>
      <c r="E852" s="5"/>
      <c r="F852" s="5"/>
      <c r="G852" s="5"/>
      <c r="H852" s="112"/>
      <c r="L852" s="4"/>
      <c r="M852" s="5"/>
      <c r="N852" s="112"/>
      <c r="R852" s="333"/>
      <c r="S852" s="5"/>
      <c r="T852" s="112"/>
      <c r="X852" s="333"/>
      <c r="Y852" s="5"/>
      <c r="AD852" s="333"/>
      <c r="AE852" s="5"/>
      <c r="AJ852" s="333"/>
      <c r="AK852" s="5"/>
      <c r="AP852" s="333"/>
      <c r="AQ852" s="5"/>
    </row>
    <row r="853" ht="15.75" customHeight="1">
      <c r="C853" s="4"/>
      <c r="D853" s="333"/>
      <c r="E853" s="5"/>
      <c r="F853" s="5"/>
      <c r="G853" s="5"/>
      <c r="H853" s="112"/>
      <c r="L853" s="4"/>
      <c r="M853" s="5"/>
      <c r="N853" s="112"/>
      <c r="R853" s="333"/>
      <c r="S853" s="5"/>
      <c r="T853" s="112"/>
      <c r="X853" s="333"/>
      <c r="Y853" s="5"/>
      <c r="AD853" s="333"/>
      <c r="AE853" s="5"/>
      <c r="AJ853" s="333"/>
      <c r="AK853" s="5"/>
      <c r="AP853" s="333"/>
      <c r="AQ853" s="5"/>
    </row>
    <row r="854" ht="15.75" customHeight="1">
      <c r="C854" s="4"/>
      <c r="D854" s="333"/>
      <c r="E854" s="5"/>
      <c r="F854" s="5"/>
      <c r="G854" s="5"/>
      <c r="H854" s="112"/>
      <c r="L854" s="4"/>
      <c r="M854" s="5"/>
      <c r="N854" s="112"/>
      <c r="R854" s="333"/>
      <c r="S854" s="5"/>
      <c r="T854" s="112"/>
      <c r="X854" s="333"/>
      <c r="Y854" s="5"/>
      <c r="AD854" s="333"/>
      <c r="AE854" s="5"/>
      <c r="AJ854" s="333"/>
      <c r="AK854" s="5"/>
      <c r="AP854" s="333"/>
      <c r="AQ854" s="5"/>
    </row>
    <row r="855" ht="15.75" customHeight="1">
      <c r="C855" s="4"/>
      <c r="D855" s="333"/>
      <c r="E855" s="5"/>
      <c r="F855" s="5"/>
      <c r="G855" s="5"/>
      <c r="H855" s="112"/>
      <c r="L855" s="4"/>
      <c r="M855" s="5"/>
      <c r="N855" s="112"/>
      <c r="R855" s="333"/>
      <c r="S855" s="5"/>
      <c r="T855" s="112"/>
      <c r="X855" s="333"/>
      <c r="Y855" s="5"/>
      <c r="AD855" s="333"/>
      <c r="AE855" s="5"/>
      <c r="AJ855" s="333"/>
      <c r="AK855" s="5"/>
      <c r="AP855" s="333"/>
      <c r="AQ855" s="5"/>
    </row>
    <row r="856" ht="15.75" customHeight="1">
      <c r="C856" s="4"/>
      <c r="D856" s="333"/>
      <c r="E856" s="5"/>
      <c r="F856" s="5"/>
      <c r="G856" s="5"/>
      <c r="H856" s="112"/>
      <c r="L856" s="4"/>
      <c r="M856" s="5"/>
      <c r="N856" s="112"/>
      <c r="R856" s="333"/>
      <c r="S856" s="5"/>
      <c r="T856" s="112"/>
      <c r="X856" s="333"/>
      <c r="Y856" s="5"/>
      <c r="AD856" s="333"/>
      <c r="AE856" s="5"/>
      <c r="AJ856" s="333"/>
      <c r="AK856" s="5"/>
      <c r="AP856" s="333"/>
      <c r="AQ856" s="5"/>
    </row>
    <row r="857" ht="15.75" customHeight="1">
      <c r="C857" s="4"/>
      <c r="D857" s="333"/>
      <c r="E857" s="5"/>
      <c r="F857" s="5"/>
      <c r="G857" s="5"/>
      <c r="H857" s="112"/>
      <c r="L857" s="4"/>
      <c r="M857" s="5"/>
      <c r="N857" s="112"/>
      <c r="R857" s="333"/>
      <c r="S857" s="5"/>
      <c r="T857" s="112"/>
      <c r="X857" s="333"/>
      <c r="Y857" s="5"/>
      <c r="AD857" s="333"/>
      <c r="AE857" s="5"/>
      <c r="AJ857" s="333"/>
      <c r="AK857" s="5"/>
      <c r="AP857" s="333"/>
      <c r="AQ857" s="5"/>
    </row>
    <row r="858" ht="15.75" customHeight="1">
      <c r="C858" s="4"/>
      <c r="D858" s="333"/>
      <c r="E858" s="5"/>
      <c r="F858" s="5"/>
      <c r="G858" s="5"/>
      <c r="H858" s="112"/>
      <c r="L858" s="4"/>
      <c r="M858" s="5"/>
      <c r="N858" s="112"/>
      <c r="R858" s="333"/>
      <c r="S858" s="5"/>
      <c r="T858" s="112"/>
      <c r="X858" s="333"/>
      <c r="Y858" s="5"/>
      <c r="AD858" s="333"/>
      <c r="AE858" s="5"/>
      <c r="AJ858" s="333"/>
      <c r="AK858" s="5"/>
      <c r="AP858" s="333"/>
      <c r="AQ858" s="5"/>
    </row>
    <row r="859" ht="15.75" customHeight="1">
      <c r="C859" s="4"/>
      <c r="D859" s="333"/>
      <c r="E859" s="5"/>
      <c r="F859" s="5"/>
      <c r="G859" s="5"/>
      <c r="H859" s="112"/>
      <c r="L859" s="4"/>
      <c r="M859" s="5"/>
      <c r="N859" s="112"/>
      <c r="R859" s="333"/>
      <c r="S859" s="5"/>
      <c r="T859" s="112"/>
      <c r="X859" s="333"/>
      <c r="Y859" s="5"/>
      <c r="AD859" s="333"/>
      <c r="AE859" s="5"/>
      <c r="AJ859" s="333"/>
      <c r="AK859" s="5"/>
      <c r="AP859" s="333"/>
      <c r="AQ859" s="5"/>
    </row>
    <row r="860" ht="15.75" customHeight="1">
      <c r="C860" s="4"/>
      <c r="D860" s="333"/>
      <c r="E860" s="5"/>
      <c r="F860" s="5"/>
      <c r="G860" s="5"/>
      <c r="H860" s="112"/>
      <c r="L860" s="4"/>
      <c r="M860" s="5"/>
      <c r="N860" s="112"/>
      <c r="R860" s="333"/>
      <c r="S860" s="5"/>
      <c r="T860" s="112"/>
      <c r="X860" s="333"/>
      <c r="Y860" s="5"/>
      <c r="AD860" s="333"/>
      <c r="AE860" s="5"/>
      <c r="AJ860" s="333"/>
      <c r="AK860" s="5"/>
      <c r="AP860" s="333"/>
      <c r="AQ860" s="5"/>
    </row>
    <row r="861" ht="15.75" customHeight="1">
      <c r="C861" s="4"/>
      <c r="D861" s="333"/>
      <c r="E861" s="5"/>
      <c r="F861" s="5"/>
      <c r="G861" s="5"/>
      <c r="H861" s="112"/>
      <c r="L861" s="4"/>
      <c r="M861" s="5"/>
      <c r="N861" s="112"/>
      <c r="R861" s="333"/>
      <c r="S861" s="5"/>
      <c r="T861" s="112"/>
      <c r="X861" s="333"/>
      <c r="Y861" s="5"/>
      <c r="AD861" s="333"/>
      <c r="AE861" s="5"/>
      <c r="AJ861" s="333"/>
      <c r="AK861" s="5"/>
      <c r="AP861" s="333"/>
      <c r="AQ861" s="5"/>
    </row>
    <row r="862" ht="15.75" customHeight="1">
      <c r="C862" s="4"/>
      <c r="D862" s="333"/>
      <c r="E862" s="5"/>
      <c r="F862" s="5"/>
      <c r="G862" s="5"/>
      <c r="H862" s="112"/>
      <c r="L862" s="4"/>
      <c r="M862" s="5"/>
      <c r="N862" s="112"/>
      <c r="R862" s="333"/>
      <c r="S862" s="5"/>
      <c r="T862" s="112"/>
      <c r="X862" s="333"/>
      <c r="Y862" s="5"/>
      <c r="AD862" s="333"/>
      <c r="AE862" s="5"/>
      <c r="AJ862" s="333"/>
      <c r="AK862" s="5"/>
      <c r="AP862" s="333"/>
      <c r="AQ862" s="5"/>
    </row>
    <row r="863" ht="15.75" customHeight="1">
      <c r="C863" s="4"/>
      <c r="D863" s="333"/>
      <c r="E863" s="5"/>
      <c r="F863" s="5"/>
      <c r="G863" s="5"/>
      <c r="H863" s="112"/>
      <c r="L863" s="4"/>
      <c r="M863" s="5"/>
      <c r="N863" s="112"/>
      <c r="R863" s="333"/>
      <c r="S863" s="5"/>
      <c r="T863" s="112"/>
      <c r="X863" s="333"/>
      <c r="Y863" s="5"/>
      <c r="AD863" s="333"/>
      <c r="AE863" s="5"/>
      <c r="AJ863" s="333"/>
      <c r="AK863" s="5"/>
      <c r="AP863" s="333"/>
      <c r="AQ863" s="5"/>
    </row>
    <row r="864" ht="15.75" customHeight="1">
      <c r="C864" s="4"/>
      <c r="D864" s="333"/>
      <c r="E864" s="5"/>
      <c r="F864" s="5"/>
      <c r="G864" s="5"/>
      <c r="H864" s="112"/>
      <c r="L864" s="4"/>
      <c r="M864" s="5"/>
      <c r="N864" s="112"/>
      <c r="R864" s="333"/>
      <c r="S864" s="5"/>
      <c r="T864" s="112"/>
      <c r="X864" s="333"/>
      <c r="Y864" s="5"/>
      <c r="AD864" s="333"/>
      <c r="AE864" s="5"/>
      <c r="AJ864" s="333"/>
      <c r="AK864" s="5"/>
      <c r="AP864" s="333"/>
      <c r="AQ864" s="5"/>
    </row>
    <row r="865" ht="15.75" customHeight="1">
      <c r="C865" s="4"/>
      <c r="D865" s="333"/>
      <c r="E865" s="5"/>
      <c r="F865" s="5"/>
      <c r="G865" s="5"/>
      <c r="H865" s="112"/>
      <c r="L865" s="4"/>
      <c r="M865" s="5"/>
      <c r="N865" s="112"/>
      <c r="R865" s="333"/>
      <c r="S865" s="5"/>
      <c r="T865" s="112"/>
      <c r="X865" s="333"/>
      <c r="Y865" s="5"/>
      <c r="AD865" s="333"/>
      <c r="AE865" s="5"/>
      <c r="AJ865" s="333"/>
      <c r="AK865" s="5"/>
      <c r="AP865" s="333"/>
      <c r="AQ865" s="5"/>
    </row>
    <row r="866" ht="15.75" customHeight="1">
      <c r="C866" s="4"/>
      <c r="D866" s="333"/>
      <c r="E866" s="5"/>
      <c r="F866" s="5"/>
      <c r="G866" s="5"/>
      <c r="H866" s="112"/>
      <c r="L866" s="4"/>
      <c r="M866" s="5"/>
      <c r="N866" s="112"/>
      <c r="R866" s="333"/>
      <c r="S866" s="5"/>
      <c r="T866" s="112"/>
      <c r="X866" s="333"/>
      <c r="Y866" s="5"/>
      <c r="AD866" s="333"/>
      <c r="AE866" s="5"/>
      <c r="AJ866" s="333"/>
      <c r="AK866" s="5"/>
      <c r="AP866" s="333"/>
      <c r="AQ866" s="5"/>
    </row>
    <row r="867" ht="15.75" customHeight="1">
      <c r="C867" s="4"/>
      <c r="D867" s="333"/>
      <c r="E867" s="5"/>
      <c r="F867" s="5"/>
      <c r="G867" s="5"/>
      <c r="H867" s="112"/>
      <c r="L867" s="4"/>
      <c r="M867" s="5"/>
      <c r="N867" s="112"/>
      <c r="R867" s="333"/>
      <c r="S867" s="5"/>
      <c r="T867" s="112"/>
      <c r="X867" s="333"/>
      <c r="Y867" s="5"/>
      <c r="AD867" s="333"/>
      <c r="AE867" s="5"/>
      <c r="AJ867" s="333"/>
      <c r="AK867" s="5"/>
      <c r="AP867" s="333"/>
      <c r="AQ867" s="5"/>
    </row>
    <row r="868" ht="15.75" customHeight="1">
      <c r="C868" s="4"/>
      <c r="D868" s="333"/>
      <c r="E868" s="5"/>
      <c r="F868" s="5"/>
      <c r="G868" s="5"/>
      <c r="H868" s="112"/>
      <c r="L868" s="4"/>
      <c r="M868" s="5"/>
      <c r="N868" s="112"/>
      <c r="R868" s="333"/>
      <c r="S868" s="5"/>
      <c r="T868" s="112"/>
      <c r="X868" s="333"/>
      <c r="Y868" s="5"/>
      <c r="AD868" s="333"/>
      <c r="AE868" s="5"/>
      <c r="AJ868" s="333"/>
      <c r="AK868" s="5"/>
      <c r="AP868" s="333"/>
      <c r="AQ868" s="5"/>
    </row>
    <row r="869" ht="15.75" customHeight="1">
      <c r="C869" s="4"/>
      <c r="D869" s="333"/>
      <c r="E869" s="5"/>
      <c r="F869" s="5"/>
      <c r="G869" s="5"/>
      <c r="H869" s="112"/>
      <c r="L869" s="4"/>
      <c r="M869" s="5"/>
      <c r="N869" s="112"/>
      <c r="R869" s="333"/>
      <c r="S869" s="5"/>
      <c r="T869" s="112"/>
      <c r="X869" s="333"/>
      <c r="Y869" s="5"/>
      <c r="AD869" s="333"/>
      <c r="AE869" s="5"/>
      <c r="AJ869" s="333"/>
      <c r="AK869" s="5"/>
      <c r="AP869" s="333"/>
      <c r="AQ869" s="5"/>
    </row>
    <row r="870" ht="15.75" customHeight="1">
      <c r="C870" s="4"/>
      <c r="D870" s="333"/>
      <c r="E870" s="5"/>
      <c r="F870" s="5"/>
      <c r="G870" s="5"/>
      <c r="H870" s="112"/>
      <c r="L870" s="4"/>
      <c r="M870" s="5"/>
      <c r="N870" s="112"/>
      <c r="R870" s="333"/>
      <c r="S870" s="5"/>
      <c r="T870" s="112"/>
      <c r="X870" s="333"/>
      <c r="Y870" s="5"/>
      <c r="AD870" s="333"/>
      <c r="AE870" s="5"/>
      <c r="AJ870" s="333"/>
      <c r="AK870" s="5"/>
      <c r="AP870" s="333"/>
      <c r="AQ870" s="5"/>
    </row>
    <row r="871" ht="15.75" customHeight="1">
      <c r="C871" s="4"/>
      <c r="D871" s="333"/>
      <c r="E871" s="5"/>
      <c r="F871" s="5"/>
      <c r="G871" s="5"/>
      <c r="H871" s="112"/>
      <c r="L871" s="4"/>
      <c r="M871" s="5"/>
      <c r="N871" s="112"/>
      <c r="R871" s="333"/>
      <c r="S871" s="5"/>
      <c r="T871" s="112"/>
      <c r="X871" s="333"/>
      <c r="Y871" s="5"/>
      <c r="AD871" s="333"/>
      <c r="AE871" s="5"/>
      <c r="AJ871" s="333"/>
      <c r="AK871" s="5"/>
      <c r="AP871" s="333"/>
      <c r="AQ871" s="5"/>
    </row>
    <row r="872" ht="15.75" customHeight="1">
      <c r="C872" s="4"/>
      <c r="D872" s="333"/>
      <c r="E872" s="5"/>
      <c r="F872" s="5"/>
      <c r="G872" s="5"/>
      <c r="H872" s="112"/>
      <c r="L872" s="4"/>
      <c r="M872" s="5"/>
      <c r="N872" s="112"/>
      <c r="R872" s="333"/>
      <c r="S872" s="5"/>
      <c r="T872" s="112"/>
      <c r="X872" s="333"/>
      <c r="Y872" s="5"/>
      <c r="AD872" s="333"/>
      <c r="AE872" s="5"/>
      <c r="AJ872" s="333"/>
      <c r="AK872" s="5"/>
      <c r="AP872" s="333"/>
      <c r="AQ872" s="5"/>
    </row>
    <row r="873" ht="15.75" customHeight="1">
      <c r="C873" s="4"/>
      <c r="D873" s="333"/>
      <c r="E873" s="5"/>
      <c r="F873" s="5"/>
      <c r="G873" s="5"/>
      <c r="H873" s="112"/>
      <c r="L873" s="4"/>
      <c r="M873" s="5"/>
      <c r="N873" s="112"/>
      <c r="R873" s="333"/>
      <c r="S873" s="5"/>
      <c r="T873" s="112"/>
      <c r="X873" s="333"/>
      <c r="Y873" s="5"/>
      <c r="AD873" s="333"/>
      <c r="AE873" s="5"/>
      <c r="AJ873" s="333"/>
      <c r="AK873" s="5"/>
      <c r="AP873" s="333"/>
      <c r="AQ873" s="5"/>
    </row>
    <row r="874" ht="15.75" customHeight="1">
      <c r="C874" s="4"/>
      <c r="D874" s="333"/>
      <c r="E874" s="5"/>
      <c r="F874" s="5"/>
      <c r="G874" s="5"/>
      <c r="H874" s="112"/>
      <c r="L874" s="4"/>
      <c r="M874" s="5"/>
      <c r="N874" s="112"/>
      <c r="R874" s="333"/>
      <c r="S874" s="5"/>
      <c r="T874" s="112"/>
      <c r="X874" s="333"/>
      <c r="Y874" s="5"/>
      <c r="AD874" s="333"/>
      <c r="AE874" s="5"/>
      <c r="AJ874" s="333"/>
      <c r="AK874" s="5"/>
      <c r="AP874" s="333"/>
      <c r="AQ874" s="5"/>
    </row>
    <row r="875" ht="15.75" customHeight="1">
      <c r="C875" s="4"/>
      <c r="D875" s="333"/>
      <c r="E875" s="5"/>
      <c r="F875" s="5"/>
      <c r="G875" s="5"/>
      <c r="H875" s="112"/>
      <c r="L875" s="4"/>
      <c r="M875" s="5"/>
      <c r="N875" s="112"/>
      <c r="R875" s="333"/>
      <c r="S875" s="5"/>
      <c r="T875" s="112"/>
      <c r="X875" s="333"/>
      <c r="Y875" s="5"/>
      <c r="AD875" s="333"/>
      <c r="AE875" s="5"/>
      <c r="AJ875" s="333"/>
      <c r="AK875" s="5"/>
      <c r="AP875" s="333"/>
      <c r="AQ875" s="5"/>
    </row>
    <row r="876" ht="15.75" customHeight="1">
      <c r="C876" s="4"/>
      <c r="D876" s="333"/>
      <c r="E876" s="5"/>
      <c r="F876" s="5"/>
      <c r="G876" s="5"/>
      <c r="H876" s="112"/>
      <c r="L876" s="4"/>
      <c r="M876" s="5"/>
      <c r="N876" s="112"/>
      <c r="R876" s="333"/>
      <c r="S876" s="5"/>
      <c r="T876" s="112"/>
      <c r="X876" s="333"/>
      <c r="Y876" s="5"/>
      <c r="AD876" s="333"/>
      <c r="AE876" s="5"/>
      <c r="AJ876" s="333"/>
      <c r="AK876" s="5"/>
      <c r="AP876" s="333"/>
      <c r="AQ876" s="5"/>
    </row>
    <row r="877" ht="15.75" customHeight="1">
      <c r="C877" s="4"/>
      <c r="D877" s="333"/>
      <c r="E877" s="5"/>
      <c r="F877" s="5"/>
      <c r="G877" s="5"/>
      <c r="H877" s="112"/>
      <c r="L877" s="4"/>
      <c r="M877" s="5"/>
      <c r="N877" s="112"/>
      <c r="R877" s="333"/>
      <c r="S877" s="5"/>
      <c r="T877" s="112"/>
      <c r="X877" s="333"/>
      <c r="Y877" s="5"/>
      <c r="AD877" s="333"/>
      <c r="AE877" s="5"/>
      <c r="AJ877" s="333"/>
      <c r="AK877" s="5"/>
      <c r="AP877" s="333"/>
      <c r="AQ877" s="5"/>
    </row>
    <row r="878" ht="15.75" customHeight="1">
      <c r="C878" s="4"/>
      <c r="D878" s="333"/>
      <c r="E878" s="5"/>
      <c r="F878" s="5"/>
      <c r="G878" s="5"/>
      <c r="H878" s="112"/>
      <c r="L878" s="4"/>
      <c r="M878" s="5"/>
      <c r="N878" s="112"/>
      <c r="R878" s="333"/>
      <c r="S878" s="5"/>
      <c r="T878" s="112"/>
      <c r="X878" s="333"/>
      <c r="Y878" s="5"/>
      <c r="AD878" s="333"/>
      <c r="AE878" s="5"/>
      <c r="AJ878" s="333"/>
      <c r="AK878" s="5"/>
      <c r="AP878" s="333"/>
      <c r="AQ878" s="5"/>
    </row>
    <row r="879" ht="15.75" customHeight="1">
      <c r="C879" s="4"/>
      <c r="D879" s="333"/>
      <c r="E879" s="5"/>
      <c r="F879" s="5"/>
      <c r="G879" s="5"/>
      <c r="H879" s="112"/>
      <c r="L879" s="4"/>
      <c r="M879" s="5"/>
      <c r="N879" s="112"/>
      <c r="R879" s="333"/>
      <c r="S879" s="5"/>
      <c r="T879" s="112"/>
      <c r="X879" s="333"/>
      <c r="Y879" s="5"/>
      <c r="AD879" s="333"/>
      <c r="AE879" s="5"/>
      <c r="AJ879" s="333"/>
      <c r="AK879" s="5"/>
      <c r="AP879" s="333"/>
      <c r="AQ879" s="5"/>
    </row>
    <row r="880" ht="15.75" customHeight="1">
      <c r="C880" s="4"/>
      <c r="D880" s="333"/>
      <c r="E880" s="5"/>
      <c r="F880" s="5"/>
      <c r="G880" s="5"/>
      <c r="H880" s="112"/>
      <c r="L880" s="4"/>
      <c r="M880" s="5"/>
      <c r="N880" s="112"/>
      <c r="R880" s="333"/>
      <c r="S880" s="5"/>
      <c r="T880" s="112"/>
      <c r="X880" s="333"/>
      <c r="Y880" s="5"/>
      <c r="AD880" s="333"/>
      <c r="AE880" s="5"/>
      <c r="AJ880" s="333"/>
      <c r="AK880" s="5"/>
      <c r="AP880" s="333"/>
      <c r="AQ880" s="5"/>
    </row>
    <row r="881" ht="15.75" customHeight="1">
      <c r="C881" s="4"/>
      <c r="D881" s="333"/>
      <c r="E881" s="5"/>
      <c r="F881" s="5"/>
      <c r="G881" s="5"/>
      <c r="H881" s="112"/>
      <c r="L881" s="4"/>
      <c r="M881" s="5"/>
      <c r="N881" s="112"/>
      <c r="R881" s="333"/>
      <c r="S881" s="5"/>
      <c r="T881" s="112"/>
      <c r="X881" s="333"/>
      <c r="Y881" s="5"/>
      <c r="AD881" s="333"/>
      <c r="AE881" s="5"/>
      <c r="AJ881" s="333"/>
      <c r="AK881" s="5"/>
      <c r="AP881" s="333"/>
      <c r="AQ881" s="5"/>
    </row>
    <row r="882" ht="15.75" customHeight="1">
      <c r="C882" s="4"/>
      <c r="D882" s="333"/>
      <c r="E882" s="5"/>
      <c r="F882" s="5"/>
      <c r="G882" s="5"/>
      <c r="H882" s="112"/>
      <c r="L882" s="4"/>
      <c r="M882" s="5"/>
      <c r="N882" s="112"/>
      <c r="R882" s="333"/>
      <c r="S882" s="5"/>
      <c r="T882" s="112"/>
      <c r="X882" s="333"/>
      <c r="Y882" s="5"/>
      <c r="AD882" s="333"/>
      <c r="AE882" s="5"/>
      <c r="AJ882" s="333"/>
      <c r="AK882" s="5"/>
      <c r="AP882" s="333"/>
      <c r="AQ882" s="5"/>
    </row>
    <row r="883" ht="15.75" customHeight="1">
      <c r="C883" s="4"/>
      <c r="D883" s="333"/>
      <c r="E883" s="5"/>
      <c r="F883" s="5"/>
      <c r="G883" s="5"/>
      <c r="H883" s="112"/>
      <c r="L883" s="4"/>
      <c r="M883" s="5"/>
      <c r="N883" s="112"/>
      <c r="R883" s="333"/>
      <c r="S883" s="5"/>
      <c r="T883" s="112"/>
      <c r="X883" s="333"/>
      <c r="Y883" s="5"/>
      <c r="AD883" s="333"/>
      <c r="AE883" s="5"/>
      <c r="AJ883" s="333"/>
      <c r="AK883" s="5"/>
      <c r="AP883" s="333"/>
      <c r="AQ883" s="5"/>
    </row>
    <row r="884" ht="15.75" customHeight="1">
      <c r="C884" s="4"/>
      <c r="D884" s="333"/>
      <c r="E884" s="5"/>
      <c r="F884" s="5"/>
      <c r="G884" s="5"/>
      <c r="H884" s="112"/>
      <c r="L884" s="4"/>
      <c r="M884" s="5"/>
      <c r="N884" s="112"/>
      <c r="R884" s="333"/>
      <c r="S884" s="5"/>
      <c r="T884" s="112"/>
      <c r="X884" s="333"/>
      <c r="Y884" s="5"/>
      <c r="AD884" s="333"/>
      <c r="AE884" s="5"/>
      <c r="AJ884" s="333"/>
      <c r="AK884" s="5"/>
      <c r="AP884" s="333"/>
      <c r="AQ884" s="5"/>
    </row>
    <row r="885" ht="15.75" customHeight="1">
      <c r="C885" s="4"/>
      <c r="D885" s="333"/>
      <c r="E885" s="5"/>
      <c r="F885" s="5"/>
      <c r="G885" s="5"/>
      <c r="H885" s="112"/>
      <c r="L885" s="4"/>
      <c r="M885" s="5"/>
      <c r="N885" s="112"/>
      <c r="R885" s="333"/>
      <c r="S885" s="5"/>
      <c r="T885" s="112"/>
      <c r="X885" s="333"/>
      <c r="Y885" s="5"/>
      <c r="AD885" s="333"/>
      <c r="AE885" s="5"/>
      <c r="AJ885" s="333"/>
      <c r="AK885" s="5"/>
      <c r="AP885" s="333"/>
      <c r="AQ885" s="5"/>
    </row>
    <row r="886" ht="15.75" customHeight="1">
      <c r="C886" s="4"/>
      <c r="D886" s="333"/>
      <c r="E886" s="5"/>
      <c r="F886" s="5"/>
      <c r="G886" s="5"/>
      <c r="H886" s="112"/>
      <c r="L886" s="4"/>
      <c r="M886" s="5"/>
      <c r="N886" s="112"/>
      <c r="R886" s="333"/>
      <c r="S886" s="5"/>
      <c r="T886" s="112"/>
      <c r="X886" s="333"/>
      <c r="Y886" s="5"/>
      <c r="AD886" s="333"/>
      <c r="AE886" s="5"/>
      <c r="AJ886" s="333"/>
      <c r="AK886" s="5"/>
      <c r="AP886" s="333"/>
      <c r="AQ886" s="5"/>
    </row>
    <row r="887" ht="15.75" customHeight="1">
      <c r="C887" s="4"/>
      <c r="D887" s="333"/>
      <c r="E887" s="5"/>
      <c r="F887" s="5"/>
      <c r="G887" s="5"/>
      <c r="H887" s="112"/>
      <c r="L887" s="4"/>
      <c r="M887" s="5"/>
      <c r="N887" s="112"/>
      <c r="R887" s="333"/>
      <c r="S887" s="5"/>
      <c r="T887" s="112"/>
      <c r="X887" s="333"/>
      <c r="Y887" s="5"/>
      <c r="AD887" s="333"/>
      <c r="AE887" s="5"/>
      <c r="AJ887" s="333"/>
      <c r="AK887" s="5"/>
      <c r="AP887" s="333"/>
      <c r="AQ887" s="5"/>
    </row>
    <row r="888" ht="15.75" customHeight="1">
      <c r="C888" s="4"/>
      <c r="D888" s="333"/>
      <c r="E888" s="5"/>
      <c r="F888" s="5"/>
      <c r="G888" s="5"/>
      <c r="H888" s="112"/>
      <c r="L888" s="4"/>
      <c r="M888" s="5"/>
      <c r="N888" s="112"/>
      <c r="R888" s="333"/>
      <c r="S888" s="5"/>
      <c r="T888" s="112"/>
      <c r="X888" s="333"/>
      <c r="Y888" s="5"/>
      <c r="AD888" s="333"/>
      <c r="AE888" s="5"/>
      <c r="AJ888" s="333"/>
      <c r="AK888" s="5"/>
      <c r="AP888" s="333"/>
      <c r="AQ888" s="5"/>
    </row>
    <row r="889" ht="15.75" customHeight="1">
      <c r="C889" s="4"/>
      <c r="D889" s="333"/>
      <c r="E889" s="5"/>
      <c r="F889" s="5"/>
      <c r="G889" s="5"/>
      <c r="H889" s="112"/>
      <c r="L889" s="4"/>
      <c r="M889" s="5"/>
      <c r="N889" s="112"/>
      <c r="R889" s="333"/>
      <c r="S889" s="5"/>
      <c r="T889" s="112"/>
      <c r="X889" s="333"/>
      <c r="Y889" s="5"/>
      <c r="AD889" s="333"/>
      <c r="AE889" s="5"/>
      <c r="AJ889" s="333"/>
      <c r="AK889" s="5"/>
      <c r="AP889" s="333"/>
      <c r="AQ889" s="5"/>
    </row>
    <row r="890" ht="15.75" customHeight="1">
      <c r="C890" s="4"/>
      <c r="D890" s="333"/>
      <c r="E890" s="5"/>
      <c r="F890" s="5"/>
      <c r="G890" s="5"/>
      <c r="H890" s="112"/>
      <c r="L890" s="4"/>
      <c r="M890" s="5"/>
      <c r="N890" s="112"/>
      <c r="R890" s="333"/>
      <c r="S890" s="5"/>
      <c r="T890" s="112"/>
      <c r="X890" s="333"/>
      <c r="Y890" s="5"/>
      <c r="AD890" s="333"/>
      <c r="AE890" s="5"/>
      <c r="AJ890" s="333"/>
      <c r="AK890" s="5"/>
      <c r="AP890" s="333"/>
      <c r="AQ890" s="5"/>
    </row>
    <row r="891" ht="15.75" customHeight="1">
      <c r="C891" s="4"/>
      <c r="D891" s="333"/>
      <c r="E891" s="5"/>
      <c r="F891" s="5"/>
      <c r="G891" s="5"/>
      <c r="H891" s="112"/>
      <c r="L891" s="4"/>
      <c r="M891" s="5"/>
      <c r="N891" s="112"/>
      <c r="R891" s="333"/>
      <c r="S891" s="5"/>
      <c r="T891" s="112"/>
      <c r="X891" s="333"/>
      <c r="Y891" s="5"/>
      <c r="AD891" s="333"/>
      <c r="AE891" s="5"/>
      <c r="AJ891" s="333"/>
      <c r="AK891" s="5"/>
      <c r="AP891" s="333"/>
      <c r="AQ891" s="5"/>
    </row>
    <row r="892" ht="15.75" customHeight="1">
      <c r="C892" s="4"/>
      <c r="D892" s="333"/>
      <c r="E892" s="5"/>
      <c r="F892" s="5"/>
      <c r="G892" s="5"/>
      <c r="H892" s="112"/>
      <c r="L892" s="4"/>
      <c r="M892" s="5"/>
      <c r="N892" s="112"/>
      <c r="R892" s="333"/>
      <c r="S892" s="5"/>
      <c r="T892" s="112"/>
      <c r="X892" s="333"/>
      <c r="Y892" s="5"/>
      <c r="AD892" s="333"/>
      <c r="AE892" s="5"/>
      <c r="AJ892" s="333"/>
      <c r="AK892" s="5"/>
      <c r="AP892" s="333"/>
      <c r="AQ892" s="5"/>
    </row>
    <row r="893" ht="15.75" customHeight="1">
      <c r="C893" s="4"/>
      <c r="D893" s="333"/>
      <c r="E893" s="5"/>
      <c r="F893" s="5"/>
      <c r="G893" s="5"/>
      <c r="H893" s="112"/>
      <c r="L893" s="4"/>
      <c r="M893" s="5"/>
      <c r="N893" s="112"/>
      <c r="R893" s="333"/>
      <c r="S893" s="5"/>
      <c r="T893" s="112"/>
      <c r="X893" s="333"/>
      <c r="Y893" s="5"/>
      <c r="AD893" s="333"/>
      <c r="AE893" s="5"/>
      <c r="AJ893" s="333"/>
      <c r="AK893" s="5"/>
      <c r="AP893" s="333"/>
      <c r="AQ893" s="5"/>
    </row>
    <row r="894" ht="15.75" customHeight="1">
      <c r="C894" s="4"/>
      <c r="D894" s="333"/>
      <c r="E894" s="5"/>
      <c r="F894" s="5"/>
      <c r="G894" s="5"/>
      <c r="H894" s="112"/>
      <c r="L894" s="4"/>
      <c r="M894" s="5"/>
      <c r="N894" s="112"/>
      <c r="R894" s="333"/>
      <c r="S894" s="5"/>
      <c r="T894" s="112"/>
      <c r="X894" s="333"/>
      <c r="Y894" s="5"/>
      <c r="AD894" s="333"/>
      <c r="AE894" s="5"/>
      <c r="AJ894" s="333"/>
      <c r="AK894" s="5"/>
      <c r="AP894" s="333"/>
      <c r="AQ894" s="5"/>
    </row>
    <row r="895" ht="15.75" customHeight="1">
      <c r="C895" s="4"/>
      <c r="D895" s="333"/>
      <c r="E895" s="5"/>
      <c r="F895" s="5"/>
      <c r="G895" s="5"/>
      <c r="H895" s="112"/>
      <c r="L895" s="4"/>
      <c r="M895" s="5"/>
      <c r="N895" s="112"/>
      <c r="R895" s="333"/>
      <c r="S895" s="5"/>
      <c r="T895" s="112"/>
      <c r="X895" s="333"/>
      <c r="Y895" s="5"/>
      <c r="AD895" s="333"/>
      <c r="AE895" s="5"/>
      <c r="AJ895" s="333"/>
      <c r="AK895" s="5"/>
      <c r="AP895" s="333"/>
      <c r="AQ895" s="5"/>
    </row>
    <row r="896" ht="15.75" customHeight="1">
      <c r="C896" s="4"/>
      <c r="D896" s="333"/>
      <c r="E896" s="5"/>
      <c r="F896" s="5"/>
      <c r="G896" s="5"/>
      <c r="H896" s="112"/>
      <c r="L896" s="4"/>
      <c r="M896" s="5"/>
      <c r="N896" s="112"/>
      <c r="R896" s="333"/>
      <c r="S896" s="5"/>
      <c r="T896" s="112"/>
      <c r="X896" s="333"/>
      <c r="Y896" s="5"/>
      <c r="AD896" s="333"/>
      <c r="AE896" s="5"/>
      <c r="AJ896" s="333"/>
      <c r="AK896" s="5"/>
      <c r="AP896" s="333"/>
      <c r="AQ896" s="5"/>
    </row>
    <row r="897" ht="15.75" customHeight="1">
      <c r="C897" s="4"/>
      <c r="D897" s="333"/>
      <c r="E897" s="5"/>
      <c r="F897" s="5"/>
      <c r="G897" s="5"/>
      <c r="H897" s="112"/>
      <c r="L897" s="4"/>
      <c r="M897" s="5"/>
      <c r="N897" s="112"/>
      <c r="R897" s="333"/>
      <c r="S897" s="5"/>
      <c r="T897" s="112"/>
      <c r="X897" s="333"/>
      <c r="Y897" s="5"/>
      <c r="AD897" s="333"/>
      <c r="AE897" s="5"/>
      <c r="AJ897" s="333"/>
      <c r="AK897" s="5"/>
      <c r="AP897" s="333"/>
      <c r="AQ897" s="5"/>
    </row>
    <row r="898" ht="15.75" customHeight="1">
      <c r="C898" s="4"/>
      <c r="D898" s="333"/>
      <c r="E898" s="5"/>
      <c r="F898" s="5"/>
      <c r="G898" s="5"/>
      <c r="H898" s="112"/>
      <c r="L898" s="4"/>
      <c r="M898" s="5"/>
      <c r="N898" s="112"/>
      <c r="R898" s="333"/>
      <c r="S898" s="5"/>
      <c r="T898" s="112"/>
      <c r="X898" s="333"/>
      <c r="Y898" s="5"/>
      <c r="AD898" s="333"/>
      <c r="AE898" s="5"/>
      <c r="AJ898" s="333"/>
      <c r="AK898" s="5"/>
      <c r="AP898" s="333"/>
      <c r="AQ898" s="5"/>
    </row>
    <row r="899" ht="15.75" customHeight="1">
      <c r="C899" s="4"/>
      <c r="D899" s="333"/>
      <c r="E899" s="5"/>
      <c r="F899" s="5"/>
      <c r="G899" s="5"/>
      <c r="H899" s="112"/>
      <c r="L899" s="4"/>
      <c r="M899" s="5"/>
      <c r="N899" s="112"/>
      <c r="R899" s="333"/>
      <c r="S899" s="5"/>
      <c r="T899" s="112"/>
      <c r="X899" s="333"/>
      <c r="Y899" s="5"/>
      <c r="AD899" s="333"/>
      <c r="AE899" s="5"/>
      <c r="AJ899" s="333"/>
      <c r="AK899" s="5"/>
      <c r="AP899" s="333"/>
      <c r="AQ899" s="5"/>
    </row>
    <row r="900" ht="15.75" customHeight="1">
      <c r="C900" s="4"/>
      <c r="D900" s="333"/>
      <c r="E900" s="5"/>
      <c r="F900" s="5"/>
      <c r="G900" s="5"/>
      <c r="H900" s="112"/>
      <c r="L900" s="4"/>
      <c r="M900" s="5"/>
      <c r="N900" s="112"/>
      <c r="R900" s="333"/>
      <c r="S900" s="5"/>
      <c r="T900" s="112"/>
      <c r="X900" s="333"/>
      <c r="Y900" s="5"/>
      <c r="AD900" s="333"/>
      <c r="AE900" s="5"/>
      <c r="AJ900" s="333"/>
      <c r="AK900" s="5"/>
      <c r="AP900" s="333"/>
      <c r="AQ900" s="5"/>
    </row>
    <row r="901" ht="15.75" customHeight="1">
      <c r="C901" s="4"/>
      <c r="D901" s="333"/>
      <c r="E901" s="5"/>
      <c r="F901" s="5"/>
      <c r="G901" s="5"/>
      <c r="H901" s="112"/>
      <c r="L901" s="4"/>
      <c r="M901" s="5"/>
      <c r="N901" s="112"/>
      <c r="R901" s="333"/>
      <c r="S901" s="5"/>
      <c r="T901" s="112"/>
      <c r="X901" s="333"/>
      <c r="Y901" s="5"/>
      <c r="AD901" s="333"/>
      <c r="AE901" s="5"/>
      <c r="AJ901" s="333"/>
      <c r="AK901" s="5"/>
      <c r="AP901" s="333"/>
      <c r="AQ901" s="5"/>
    </row>
    <row r="902" ht="15.75" customHeight="1">
      <c r="C902" s="4"/>
      <c r="D902" s="333"/>
      <c r="E902" s="5"/>
      <c r="F902" s="5"/>
      <c r="G902" s="5"/>
      <c r="H902" s="112"/>
      <c r="L902" s="4"/>
      <c r="M902" s="5"/>
      <c r="N902" s="112"/>
      <c r="R902" s="333"/>
      <c r="S902" s="5"/>
      <c r="T902" s="112"/>
      <c r="X902" s="333"/>
      <c r="Y902" s="5"/>
      <c r="AD902" s="333"/>
      <c r="AE902" s="5"/>
      <c r="AJ902" s="333"/>
      <c r="AK902" s="5"/>
      <c r="AP902" s="333"/>
      <c r="AQ902" s="5"/>
    </row>
    <row r="903" ht="15.75" customHeight="1">
      <c r="C903" s="4"/>
      <c r="D903" s="333"/>
      <c r="E903" s="5"/>
      <c r="F903" s="5"/>
      <c r="G903" s="5"/>
      <c r="H903" s="112"/>
      <c r="L903" s="4"/>
      <c r="M903" s="5"/>
      <c r="N903" s="112"/>
      <c r="R903" s="333"/>
      <c r="S903" s="5"/>
      <c r="T903" s="112"/>
      <c r="X903" s="333"/>
      <c r="Y903" s="5"/>
      <c r="AD903" s="333"/>
      <c r="AE903" s="5"/>
      <c r="AJ903" s="333"/>
      <c r="AK903" s="5"/>
      <c r="AP903" s="333"/>
      <c r="AQ903" s="5"/>
    </row>
    <row r="904" ht="15.75" customHeight="1">
      <c r="C904" s="4"/>
      <c r="D904" s="333"/>
      <c r="E904" s="5"/>
      <c r="F904" s="5"/>
      <c r="G904" s="5"/>
      <c r="H904" s="112"/>
      <c r="L904" s="4"/>
      <c r="M904" s="5"/>
      <c r="N904" s="112"/>
      <c r="R904" s="333"/>
      <c r="S904" s="5"/>
      <c r="T904" s="112"/>
      <c r="X904" s="333"/>
      <c r="Y904" s="5"/>
      <c r="AD904" s="333"/>
      <c r="AE904" s="5"/>
      <c r="AJ904" s="333"/>
      <c r="AK904" s="5"/>
      <c r="AP904" s="333"/>
      <c r="AQ904" s="5"/>
    </row>
    <row r="905" ht="15.75" customHeight="1">
      <c r="C905" s="4"/>
      <c r="D905" s="333"/>
      <c r="E905" s="5"/>
      <c r="F905" s="5"/>
      <c r="G905" s="5"/>
      <c r="H905" s="112"/>
      <c r="L905" s="4"/>
      <c r="M905" s="5"/>
      <c r="N905" s="112"/>
      <c r="R905" s="333"/>
      <c r="S905" s="5"/>
      <c r="T905" s="112"/>
      <c r="X905" s="333"/>
      <c r="Y905" s="5"/>
      <c r="AD905" s="333"/>
      <c r="AE905" s="5"/>
      <c r="AJ905" s="333"/>
      <c r="AK905" s="5"/>
      <c r="AP905" s="333"/>
      <c r="AQ905" s="5"/>
    </row>
    <row r="906" ht="15.75" customHeight="1">
      <c r="C906" s="4"/>
      <c r="D906" s="333"/>
      <c r="E906" s="5"/>
      <c r="F906" s="5"/>
      <c r="G906" s="5"/>
      <c r="H906" s="112"/>
      <c r="L906" s="4"/>
      <c r="M906" s="5"/>
      <c r="N906" s="112"/>
      <c r="R906" s="333"/>
      <c r="S906" s="5"/>
      <c r="T906" s="112"/>
      <c r="X906" s="333"/>
      <c r="Y906" s="5"/>
      <c r="AD906" s="333"/>
      <c r="AE906" s="5"/>
      <c r="AJ906" s="333"/>
      <c r="AK906" s="5"/>
      <c r="AP906" s="333"/>
      <c r="AQ906" s="5"/>
    </row>
    <row r="907" ht="15.75" customHeight="1">
      <c r="C907" s="4"/>
      <c r="D907" s="333"/>
      <c r="E907" s="5"/>
      <c r="F907" s="5"/>
      <c r="G907" s="5"/>
      <c r="H907" s="112"/>
      <c r="L907" s="4"/>
      <c r="M907" s="5"/>
      <c r="N907" s="112"/>
      <c r="R907" s="333"/>
      <c r="S907" s="5"/>
      <c r="T907" s="112"/>
      <c r="X907" s="333"/>
      <c r="Y907" s="5"/>
      <c r="AD907" s="333"/>
      <c r="AE907" s="5"/>
      <c r="AJ907" s="333"/>
      <c r="AK907" s="5"/>
      <c r="AP907" s="333"/>
      <c r="AQ907" s="5"/>
    </row>
    <row r="908" ht="15.75" customHeight="1">
      <c r="C908" s="4"/>
      <c r="D908" s="333"/>
      <c r="E908" s="5"/>
      <c r="F908" s="5"/>
      <c r="G908" s="5"/>
      <c r="H908" s="112"/>
      <c r="L908" s="4"/>
      <c r="M908" s="5"/>
      <c r="N908" s="112"/>
      <c r="R908" s="333"/>
      <c r="S908" s="5"/>
      <c r="T908" s="112"/>
      <c r="X908" s="333"/>
      <c r="Y908" s="5"/>
      <c r="AD908" s="333"/>
      <c r="AE908" s="5"/>
      <c r="AJ908" s="333"/>
      <c r="AK908" s="5"/>
      <c r="AP908" s="333"/>
      <c r="AQ908" s="5"/>
    </row>
    <row r="909" ht="15.75" customHeight="1">
      <c r="C909" s="4"/>
      <c r="D909" s="333"/>
      <c r="E909" s="5"/>
      <c r="F909" s="5"/>
      <c r="G909" s="5"/>
      <c r="H909" s="112"/>
      <c r="L909" s="4"/>
      <c r="M909" s="5"/>
      <c r="N909" s="112"/>
      <c r="R909" s="333"/>
      <c r="S909" s="5"/>
      <c r="T909" s="112"/>
      <c r="X909" s="333"/>
      <c r="Y909" s="5"/>
      <c r="AD909" s="333"/>
      <c r="AE909" s="5"/>
      <c r="AJ909" s="333"/>
      <c r="AK909" s="5"/>
      <c r="AP909" s="333"/>
      <c r="AQ909" s="5"/>
    </row>
    <row r="910" ht="15.75" customHeight="1">
      <c r="C910" s="4"/>
      <c r="D910" s="333"/>
      <c r="E910" s="5"/>
      <c r="F910" s="5"/>
      <c r="G910" s="5"/>
      <c r="H910" s="112"/>
      <c r="L910" s="4"/>
      <c r="M910" s="5"/>
      <c r="N910" s="112"/>
      <c r="R910" s="333"/>
      <c r="S910" s="5"/>
      <c r="T910" s="112"/>
      <c r="X910" s="333"/>
      <c r="Y910" s="5"/>
      <c r="AD910" s="333"/>
      <c r="AE910" s="5"/>
      <c r="AJ910" s="333"/>
      <c r="AK910" s="5"/>
      <c r="AP910" s="333"/>
      <c r="AQ910" s="5"/>
    </row>
    <row r="911" ht="15.75" customHeight="1">
      <c r="C911" s="4"/>
      <c r="D911" s="333"/>
      <c r="E911" s="5"/>
      <c r="F911" s="5"/>
      <c r="G911" s="5"/>
      <c r="H911" s="112"/>
      <c r="L911" s="4"/>
      <c r="M911" s="5"/>
      <c r="N911" s="112"/>
      <c r="R911" s="333"/>
      <c r="S911" s="5"/>
      <c r="T911" s="112"/>
      <c r="X911" s="333"/>
      <c r="Y911" s="5"/>
      <c r="AD911" s="333"/>
      <c r="AE911" s="5"/>
      <c r="AJ911" s="333"/>
      <c r="AK911" s="5"/>
      <c r="AP911" s="333"/>
      <c r="AQ911" s="5"/>
    </row>
    <row r="912" ht="15.75" customHeight="1">
      <c r="C912" s="4"/>
      <c r="D912" s="333"/>
      <c r="E912" s="5"/>
      <c r="F912" s="5"/>
      <c r="G912" s="5"/>
      <c r="H912" s="112"/>
      <c r="L912" s="4"/>
      <c r="M912" s="5"/>
      <c r="N912" s="112"/>
      <c r="R912" s="333"/>
      <c r="S912" s="5"/>
      <c r="T912" s="112"/>
      <c r="X912" s="333"/>
      <c r="Y912" s="5"/>
      <c r="AD912" s="333"/>
      <c r="AE912" s="5"/>
      <c r="AJ912" s="333"/>
      <c r="AK912" s="5"/>
      <c r="AP912" s="333"/>
      <c r="AQ912" s="5"/>
    </row>
    <row r="913" ht="15.75" customHeight="1">
      <c r="C913" s="4"/>
      <c r="D913" s="333"/>
      <c r="E913" s="5"/>
      <c r="F913" s="5"/>
      <c r="G913" s="5"/>
      <c r="H913" s="112"/>
      <c r="L913" s="4"/>
      <c r="M913" s="5"/>
      <c r="N913" s="112"/>
      <c r="R913" s="333"/>
      <c r="S913" s="5"/>
      <c r="T913" s="112"/>
      <c r="X913" s="333"/>
      <c r="Y913" s="5"/>
      <c r="AD913" s="333"/>
      <c r="AE913" s="5"/>
      <c r="AJ913" s="333"/>
      <c r="AK913" s="5"/>
      <c r="AP913" s="333"/>
      <c r="AQ913" s="5"/>
    </row>
    <row r="914" ht="15.75" customHeight="1">
      <c r="C914" s="4"/>
      <c r="D914" s="333"/>
      <c r="E914" s="5"/>
      <c r="F914" s="5"/>
      <c r="G914" s="5"/>
      <c r="H914" s="112"/>
      <c r="L914" s="4"/>
      <c r="M914" s="5"/>
      <c r="N914" s="112"/>
      <c r="R914" s="333"/>
      <c r="S914" s="5"/>
      <c r="T914" s="112"/>
      <c r="X914" s="333"/>
      <c r="Y914" s="5"/>
      <c r="AD914" s="333"/>
      <c r="AE914" s="5"/>
      <c r="AJ914" s="333"/>
      <c r="AK914" s="5"/>
      <c r="AP914" s="333"/>
      <c r="AQ914" s="5"/>
    </row>
    <row r="915" ht="15.75" customHeight="1">
      <c r="C915" s="4"/>
      <c r="D915" s="333"/>
      <c r="E915" s="5"/>
      <c r="F915" s="5"/>
      <c r="G915" s="5"/>
      <c r="H915" s="112"/>
      <c r="L915" s="4"/>
      <c r="M915" s="5"/>
      <c r="N915" s="112"/>
      <c r="R915" s="333"/>
      <c r="S915" s="5"/>
      <c r="T915" s="112"/>
      <c r="X915" s="333"/>
      <c r="Y915" s="5"/>
      <c r="AD915" s="333"/>
      <c r="AE915" s="5"/>
      <c r="AJ915" s="333"/>
      <c r="AK915" s="5"/>
      <c r="AP915" s="333"/>
      <c r="AQ915" s="5"/>
    </row>
    <row r="916" ht="15.75" customHeight="1">
      <c r="C916" s="4"/>
      <c r="D916" s="333"/>
      <c r="E916" s="5"/>
      <c r="F916" s="5"/>
      <c r="G916" s="5"/>
      <c r="H916" s="112"/>
      <c r="L916" s="4"/>
      <c r="M916" s="5"/>
      <c r="N916" s="112"/>
      <c r="R916" s="333"/>
      <c r="S916" s="5"/>
      <c r="T916" s="112"/>
      <c r="X916" s="333"/>
      <c r="Y916" s="5"/>
      <c r="AD916" s="333"/>
      <c r="AE916" s="5"/>
      <c r="AJ916" s="333"/>
      <c r="AK916" s="5"/>
      <c r="AP916" s="333"/>
      <c r="AQ916" s="5"/>
    </row>
    <row r="917" ht="15.75" customHeight="1">
      <c r="C917" s="4"/>
      <c r="D917" s="333"/>
      <c r="E917" s="5"/>
      <c r="F917" s="5"/>
      <c r="G917" s="5"/>
      <c r="H917" s="112"/>
      <c r="L917" s="4"/>
      <c r="M917" s="5"/>
      <c r="N917" s="112"/>
      <c r="R917" s="333"/>
      <c r="S917" s="5"/>
      <c r="T917" s="112"/>
      <c r="X917" s="333"/>
      <c r="Y917" s="5"/>
      <c r="AD917" s="333"/>
      <c r="AE917" s="5"/>
      <c r="AJ917" s="333"/>
      <c r="AK917" s="5"/>
      <c r="AP917" s="333"/>
      <c r="AQ917" s="5"/>
    </row>
    <row r="918" ht="15.75" customHeight="1">
      <c r="C918" s="4"/>
      <c r="D918" s="333"/>
      <c r="E918" s="5"/>
      <c r="F918" s="5"/>
      <c r="G918" s="5"/>
      <c r="H918" s="112"/>
      <c r="L918" s="4"/>
      <c r="M918" s="5"/>
      <c r="N918" s="112"/>
      <c r="R918" s="333"/>
      <c r="S918" s="5"/>
      <c r="T918" s="112"/>
      <c r="X918" s="333"/>
      <c r="Y918" s="5"/>
      <c r="AD918" s="333"/>
      <c r="AE918" s="5"/>
      <c r="AJ918" s="333"/>
      <c r="AK918" s="5"/>
      <c r="AP918" s="333"/>
      <c r="AQ918" s="5"/>
    </row>
    <row r="919" ht="15.75" customHeight="1">
      <c r="C919" s="4"/>
      <c r="D919" s="333"/>
      <c r="E919" s="5"/>
      <c r="F919" s="5"/>
      <c r="G919" s="5"/>
      <c r="H919" s="112"/>
      <c r="L919" s="4"/>
      <c r="M919" s="5"/>
      <c r="N919" s="112"/>
      <c r="R919" s="333"/>
      <c r="S919" s="5"/>
      <c r="T919" s="112"/>
      <c r="X919" s="333"/>
      <c r="Y919" s="5"/>
      <c r="AD919" s="333"/>
      <c r="AE919" s="5"/>
      <c r="AJ919" s="333"/>
      <c r="AK919" s="5"/>
      <c r="AP919" s="333"/>
      <c r="AQ919" s="5"/>
    </row>
    <row r="920" ht="15.75" customHeight="1">
      <c r="C920" s="4"/>
      <c r="D920" s="333"/>
      <c r="E920" s="5"/>
      <c r="F920" s="5"/>
      <c r="G920" s="5"/>
      <c r="H920" s="112"/>
      <c r="L920" s="4"/>
      <c r="M920" s="5"/>
      <c r="N920" s="112"/>
      <c r="R920" s="333"/>
      <c r="S920" s="5"/>
      <c r="T920" s="112"/>
      <c r="X920" s="333"/>
      <c r="Y920" s="5"/>
      <c r="AD920" s="333"/>
      <c r="AE920" s="5"/>
      <c r="AJ920" s="333"/>
      <c r="AK920" s="5"/>
      <c r="AP920" s="333"/>
      <c r="AQ920" s="5"/>
    </row>
    <row r="921" ht="15.75" customHeight="1">
      <c r="C921" s="4"/>
      <c r="D921" s="333"/>
      <c r="E921" s="5"/>
      <c r="F921" s="5"/>
      <c r="G921" s="5"/>
      <c r="H921" s="112"/>
      <c r="L921" s="4"/>
      <c r="M921" s="5"/>
      <c r="N921" s="112"/>
      <c r="R921" s="333"/>
      <c r="S921" s="5"/>
      <c r="T921" s="112"/>
      <c r="X921" s="333"/>
      <c r="Y921" s="5"/>
      <c r="AD921" s="333"/>
      <c r="AE921" s="5"/>
      <c r="AJ921" s="333"/>
      <c r="AK921" s="5"/>
      <c r="AP921" s="333"/>
      <c r="AQ921" s="5"/>
    </row>
    <row r="922" ht="15.75" customHeight="1">
      <c r="C922" s="4"/>
      <c r="D922" s="333"/>
      <c r="E922" s="5"/>
      <c r="F922" s="5"/>
      <c r="G922" s="5"/>
      <c r="H922" s="112"/>
      <c r="L922" s="4"/>
      <c r="M922" s="5"/>
      <c r="N922" s="112"/>
      <c r="R922" s="333"/>
      <c r="S922" s="5"/>
      <c r="T922" s="112"/>
      <c r="X922" s="333"/>
      <c r="Y922" s="5"/>
      <c r="AD922" s="333"/>
      <c r="AE922" s="5"/>
      <c r="AJ922" s="333"/>
      <c r="AK922" s="5"/>
      <c r="AP922" s="333"/>
      <c r="AQ922" s="5"/>
    </row>
    <row r="923" ht="15.75" customHeight="1">
      <c r="C923" s="4"/>
      <c r="D923" s="333"/>
      <c r="E923" s="5"/>
      <c r="F923" s="5"/>
      <c r="G923" s="5"/>
      <c r="H923" s="112"/>
      <c r="L923" s="4"/>
      <c r="M923" s="5"/>
      <c r="N923" s="112"/>
      <c r="R923" s="333"/>
      <c r="S923" s="5"/>
      <c r="T923" s="112"/>
      <c r="X923" s="333"/>
      <c r="Y923" s="5"/>
      <c r="AD923" s="333"/>
      <c r="AE923" s="5"/>
      <c r="AJ923" s="333"/>
      <c r="AK923" s="5"/>
      <c r="AP923" s="333"/>
      <c r="AQ923" s="5"/>
    </row>
    <row r="924" ht="15.75" customHeight="1">
      <c r="C924" s="4"/>
      <c r="D924" s="333"/>
      <c r="E924" s="5"/>
      <c r="F924" s="5"/>
      <c r="G924" s="5"/>
      <c r="H924" s="112"/>
      <c r="L924" s="4"/>
      <c r="M924" s="5"/>
      <c r="N924" s="112"/>
      <c r="R924" s="333"/>
      <c r="S924" s="5"/>
      <c r="T924" s="112"/>
      <c r="X924" s="333"/>
      <c r="Y924" s="5"/>
      <c r="AD924" s="333"/>
      <c r="AE924" s="5"/>
      <c r="AJ924" s="333"/>
      <c r="AK924" s="5"/>
      <c r="AP924" s="333"/>
      <c r="AQ924" s="5"/>
    </row>
    <row r="925" ht="15.75" customHeight="1">
      <c r="C925" s="4"/>
      <c r="D925" s="333"/>
      <c r="E925" s="5"/>
      <c r="F925" s="5"/>
      <c r="G925" s="5"/>
      <c r="H925" s="112"/>
      <c r="L925" s="4"/>
      <c r="M925" s="5"/>
      <c r="N925" s="112"/>
      <c r="R925" s="333"/>
      <c r="S925" s="5"/>
      <c r="T925" s="112"/>
      <c r="X925" s="333"/>
      <c r="Y925" s="5"/>
      <c r="AD925" s="333"/>
      <c r="AE925" s="5"/>
      <c r="AJ925" s="333"/>
      <c r="AK925" s="5"/>
      <c r="AP925" s="333"/>
      <c r="AQ925" s="5"/>
    </row>
    <row r="926" ht="15.75" customHeight="1">
      <c r="C926" s="4"/>
      <c r="D926" s="333"/>
      <c r="E926" s="5"/>
      <c r="F926" s="5"/>
      <c r="G926" s="5"/>
      <c r="H926" s="112"/>
      <c r="L926" s="4"/>
      <c r="M926" s="5"/>
      <c r="N926" s="112"/>
      <c r="R926" s="333"/>
      <c r="S926" s="5"/>
      <c r="T926" s="112"/>
      <c r="X926" s="333"/>
      <c r="Y926" s="5"/>
      <c r="AD926" s="333"/>
      <c r="AE926" s="5"/>
      <c r="AJ926" s="333"/>
      <c r="AK926" s="5"/>
      <c r="AP926" s="333"/>
      <c r="AQ926" s="5"/>
    </row>
    <row r="927" ht="15.75" customHeight="1">
      <c r="C927" s="4"/>
      <c r="D927" s="333"/>
      <c r="E927" s="5"/>
      <c r="F927" s="5"/>
      <c r="G927" s="5"/>
      <c r="H927" s="112"/>
      <c r="L927" s="4"/>
      <c r="M927" s="5"/>
      <c r="N927" s="112"/>
      <c r="R927" s="333"/>
      <c r="S927" s="5"/>
      <c r="T927" s="112"/>
      <c r="X927" s="333"/>
      <c r="Y927" s="5"/>
      <c r="AD927" s="333"/>
      <c r="AE927" s="5"/>
      <c r="AJ927" s="333"/>
      <c r="AK927" s="5"/>
      <c r="AP927" s="333"/>
      <c r="AQ927" s="5"/>
    </row>
    <row r="928" ht="15.75" customHeight="1">
      <c r="C928" s="4"/>
      <c r="D928" s="333"/>
      <c r="E928" s="5"/>
      <c r="F928" s="5"/>
      <c r="G928" s="5"/>
      <c r="H928" s="112"/>
      <c r="L928" s="4"/>
      <c r="M928" s="5"/>
      <c r="N928" s="112"/>
      <c r="R928" s="333"/>
      <c r="S928" s="5"/>
      <c r="T928" s="112"/>
      <c r="X928" s="333"/>
      <c r="Y928" s="5"/>
      <c r="AD928" s="333"/>
      <c r="AE928" s="5"/>
      <c r="AJ928" s="333"/>
      <c r="AK928" s="5"/>
      <c r="AP928" s="333"/>
      <c r="AQ928" s="5"/>
    </row>
    <row r="929" ht="15.75" customHeight="1">
      <c r="C929" s="4"/>
      <c r="D929" s="333"/>
      <c r="E929" s="5"/>
      <c r="F929" s="5"/>
      <c r="G929" s="5"/>
      <c r="H929" s="112"/>
      <c r="L929" s="4"/>
      <c r="M929" s="5"/>
      <c r="N929" s="112"/>
      <c r="R929" s="333"/>
      <c r="S929" s="5"/>
      <c r="T929" s="112"/>
      <c r="X929" s="333"/>
      <c r="Y929" s="5"/>
      <c r="AD929" s="333"/>
      <c r="AE929" s="5"/>
      <c r="AJ929" s="333"/>
      <c r="AK929" s="5"/>
      <c r="AP929" s="333"/>
      <c r="AQ929" s="5"/>
    </row>
    <row r="930" ht="15.75" customHeight="1">
      <c r="C930" s="4"/>
      <c r="D930" s="333"/>
      <c r="E930" s="5"/>
      <c r="F930" s="5"/>
      <c r="G930" s="5"/>
      <c r="H930" s="112"/>
      <c r="L930" s="4"/>
      <c r="M930" s="5"/>
      <c r="N930" s="112"/>
      <c r="R930" s="333"/>
      <c r="S930" s="5"/>
      <c r="T930" s="112"/>
      <c r="X930" s="333"/>
      <c r="Y930" s="5"/>
      <c r="AD930" s="333"/>
      <c r="AE930" s="5"/>
      <c r="AJ930" s="333"/>
      <c r="AK930" s="5"/>
      <c r="AP930" s="333"/>
      <c r="AQ930" s="5"/>
    </row>
    <row r="931" ht="15.75" customHeight="1">
      <c r="C931" s="4"/>
      <c r="D931" s="333"/>
      <c r="E931" s="5"/>
      <c r="F931" s="5"/>
      <c r="G931" s="5"/>
      <c r="H931" s="112"/>
      <c r="L931" s="4"/>
      <c r="M931" s="5"/>
      <c r="N931" s="112"/>
      <c r="R931" s="333"/>
      <c r="S931" s="5"/>
      <c r="T931" s="112"/>
      <c r="X931" s="333"/>
      <c r="Y931" s="5"/>
      <c r="AD931" s="333"/>
      <c r="AE931" s="5"/>
      <c r="AJ931" s="333"/>
      <c r="AK931" s="5"/>
      <c r="AP931" s="333"/>
      <c r="AQ931" s="5"/>
    </row>
    <row r="932" ht="15.75" customHeight="1">
      <c r="C932" s="4"/>
      <c r="D932" s="333"/>
      <c r="E932" s="5"/>
      <c r="F932" s="5"/>
      <c r="G932" s="5"/>
      <c r="H932" s="112"/>
      <c r="L932" s="4"/>
      <c r="M932" s="5"/>
      <c r="N932" s="112"/>
      <c r="R932" s="333"/>
      <c r="S932" s="5"/>
      <c r="T932" s="112"/>
      <c r="X932" s="333"/>
      <c r="Y932" s="5"/>
      <c r="AD932" s="333"/>
      <c r="AE932" s="5"/>
      <c r="AJ932" s="333"/>
      <c r="AK932" s="5"/>
      <c r="AP932" s="333"/>
      <c r="AQ932" s="5"/>
    </row>
    <row r="933" ht="15.75" customHeight="1">
      <c r="C933" s="4"/>
      <c r="D933" s="333"/>
      <c r="E933" s="5"/>
      <c r="F933" s="5"/>
      <c r="G933" s="5"/>
      <c r="H933" s="112"/>
      <c r="L933" s="4"/>
      <c r="M933" s="5"/>
      <c r="N933" s="112"/>
      <c r="R933" s="333"/>
      <c r="S933" s="5"/>
      <c r="T933" s="112"/>
      <c r="X933" s="333"/>
      <c r="Y933" s="5"/>
      <c r="AD933" s="333"/>
      <c r="AE933" s="5"/>
      <c r="AJ933" s="333"/>
      <c r="AK933" s="5"/>
      <c r="AP933" s="333"/>
      <c r="AQ933" s="5"/>
    </row>
    <row r="934" ht="15.75" customHeight="1">
      <c r="C934" s="4"/>
      <c r="D934" s="333"/>
      <c r="E934" s="5"/>
      <c r="F934" s="5"/>
      <c r="G934" s="5"/>
      <c r="H934" s="112"/>
      <c r="L934" s="4"/>
      <c r="M934" s="5"/>
      <c r="N934" s="112"/>
      <c r="R934" s="333"/>
      <c r="S934" s="5"/>
      <c r="T934" s="112"/>
      <c r="X934" s="333"/>
      <c r="Y934" s="5"/>
      <c r="AD934" s="333"/>
      <c r="AE934" s="5"/>
      <c r="AJ934" s="333"/>
      <c r="AK934" s="5"/>
      <c r="AP934" s="333"/>
      <c r="AQ934" s="5"/>
    </row>
    <row r="935" ht="15.75" customHeight="1">
      <c r="C935" s="4"/>
      <c r="D935" s="333"/>
      <c r="E935" s="5"/>
      <c r="F935" s="5"/>
      <c r="G935" s="5"/>
      <c r="H935" s="112"/>
      <c r="L935" s="4"/>
      <c r="M935" s="5"/>
      <c r="N935" s="112"/>
      <c r="R935" s="333"/>
      <c r="S935" s="5"/>
      <c r="T935" s="112"/>
      <c r="X935" s="333"/>
      <c r="Y935" s="5"/>
      <c r="AD935" s="333"/>
      <c r="AE935" s="5"/>
      <c r="AJ935" s="333"/>
      <c r="AK935" s="5"/>
      <c r="AP935" s="333"/>
      <c r="AQ935" s="5"/>
    </row>
    <row r="936" ht="15.75" customHeight="1">
      <c r="C936" s="4"/>
      <c r="D936" s="333"/>
      <c r="E936" s="5"/>
      <c r="F936" s="5"/>
      <c r="G936" s="5"/>
      <c r="H936" s="112"/>
      <c r="L936" s="4"/>
      <c r="M936" s="5"/>
      <c r="N936" s="112"/>
      <c r="R936" s="333"/>
      <c r="S936" s="5"/>
      <c r="T936" s="112"/>
      <c r="X936" s="333"/>
      <c r="Y936" s="5"/>
      <c r="AD936" s="333"/>
      <c r="AE936" s="5"/>
      <c r="AJ936" s="333"/>
      <c r="AK936" s="5"/>
      <c r="AP936" s="333"/>
      <c r="AQ936" s="5"/>
    </row>
    <row r="937" ht="15.75" customHeight="1">
      <c r="C937" s="4"/>
      <c r="D937" s="333"/>
      <c r="E937" s="5"/>
      <c r="F937" s="5"/>
      <c r="G937" s="5"/>
      <c r="H937" s="112"/>
      <c r="L937" s="4"/>
      <c r="M937" s="5"/>
      <c r="N937" s="112"/>
      <c r="R937" s="333"/>
      <c r="S937" s="5"/>
      <c r="T937" s="112"/>
      <c r="X937" s="333"/>
      <c r="Y937" s="5"/>
      <c r="AD937" s="333"/>
      <c r="AE937" s="5"/>
      <c r="AJ937" s="333"/>
      <c r="AK937" s="5"/>
      <c r="AP937" s="333"/>
      <c r="AQ937" s="5"/>
    </row>
    <row r="938" ht="15.75" customHeight="1">
      <c r="C938" s="4"/>
      <c r="D938" s="333"/>
      <c r="E938" s="5"/>
      <c r="F938" s="5"/>
      <c r="G938" s="5"/>
      <c r="H938" s="112"/>
      <c r="L938" s="4"/>
      <c r="M938" s="5"/>
      <c r="N938" s="112"/>
      <c r="R938" s="333"/>
      <c r="S938" s="5"/>
      <c r="T938" s="112"/>
      <c r="X938" s="333"/>
      <c r="Y938" s="5"/>
      <c r="AD938" s="333"/>
      <c r="AE938" s="5"/>
      <c r="AJ938" s="333"/>
      <c r="AK938" s="5"/>
      <c r="AP938" s="333"/>
      <c r="AQ938" s="5"/>
    </row>
    <row r="939" ht="15.75" customHeight="1">
      <c r="C939" s="4"/>
      <c r="D939" s="333"/>
      <c r="E939" s="5"/>
      <c r="F939" s="5"/>
      <c r="G939" s="5"/>
      <c r="H939" s="112"/>
      <c r="L939" s="4"/>
      <c r="M939" s="5"/>
      <c r="N939" s="112"/>
      <c r="R939" s="333"/>
      <c r="S939" s="5"/>
      <c r="T939" s="112"/>
      <c r="X939" s="333"/>
      <c r="Y939" s="5"/>
      <c r="AD939" s="333"/>
      <c r="AE939" s="5"/>
      <c r="AJ939" s="333"/>
      <c r="AK939" s="5"/>
      <c r="AP939" s="333"/>
      <c r="AQ939" s="5"/>
    </row>
    <row r="940" ht="15.75" customHeight="1">
      <c r="C940" s="4"/>
      <c r="D940" s="333"/>
      <c r="E940" s="5"/>
      <c r="F940" s="5"/>
      <c r="G940" s="5"/>
      <c r="H940" s="112"/>
      <c r="L940" s="4"/>
      <c r="M940" s="5"/>
      <c r="N940" s="112"/>
      <c r="R940" s="333"/>
      <c r="S940" s="5"/>
      <c r="T940" s="112"/>
      <c r="X940" s="333"/>
      <c r="Y940" s="5"/>
      <c r="AD940" s="333"/>
      <c r="AE940" s="5"/>
      <c r="AJ940" s="333"/>
      <c r="AK940" s="5"/>
      <c r="AP940" s="333"/>
      <c r="AQ940" s="5"/>
    </row>
    <row r="941" ht="15.75" customHeight="1">
      <c r="C941" s="4"/>
      <c r="D941" s="333"/>
      <c r="E941" s="5"/>
      <c r="F941" s="5"/>
      <c r="G941" s="5"/>
      <c r="H941" s="112"/>
      <c r="L941" s="4"/>
      <c r="M941" s="5"/>
      <c r="N941" s="112"/>
      <c r="R941" s="333"/>
      <c r="S941" s="5"/>
      <c r="T941" s="112"/>
      <c r="X941" s="333"/>
      <c r="Y941" s="5"/>
      <c r="AD941" s="333"/>
      <c r="AE941" s="5"/>
      <c r="AJ941" s="333"/>
      <c r="AK941" s="5"/>
      <c r="AP941" s="333"/>
      <c r="AQ941" s="5"/>
    </row>
    <row r="942" ht="15.75" customHeight="1">
      <c r="C942" s="4"/>
      <c r="D942" s="333"/>
      <c r="E942" s="5"/>
      <c r="F942" s="5"/>
      <c r="G942" s="5"/>
      <c r="H942" s="112"/>
      <c r="L942" s="4"/>
      <c r="M942" s="5"/>
      <c r="N942" s="112"/>
      <c r="R942" s="333"/>
      <c r="S942" s="5"/>
      <c r="T942" s="112"/>
      <c r="X942" s="333"/>
      <c r="Y942" s="5"/>
      <c r="AD942" s="333"/>
      <c r="AE942" s="5"/>
      <c r="AJ942" s="333"/>
      <c r="AK942" s="5"/>
      <c r="AP942" s="333"/>
      <c r="AQ942" s="5"/>
    </row>
    <row r="943" ht="15.75" customHeight="1">
      <c r="C943" s="4"/>
      <c r="D943" s="333"/>
      <c r="E943" s="5"/>
      <c r="F943" s="5"/>
      <c r="G943" s="5"/>
      <c r="H943" s="112"/>
      <c r="L943" s="4"/>
      <c r="M943" s="5"/>
      <c r="N943" s="112"/>
      <c r="R943" s="333"/>
      <c r="S943" s="5"/>
      <c r="T943" s="112"/>
      <c r="X943" s="333"/>
      <c r="Y943" s="5"/>
      <c r="AD943" s="333"/>
      <c r="AE943" s="5"/>
      <c r="AJ943" s="333"/>
      <c r="AK943" s="5"/>
      <c r="AP943" s="333"/>
      <c r="AQ943" s="5"/>
    </row>
    <row r="944" ht="15.75" customHeight="1">
      <c r="C944" s="4"/>
      <c r="D944" s="333"/>
      <c r="E944" s="5"/>
      <c r="F944" s="5"/>
      <c r="G944" s="5"/>
      <c r="H944" s="112"/>
      <c r="L944" s="4"/>
      <c r="M944" s="5"/>
      <c r="N944" s="112"/>
      <c r="R944" s="333"/>
      <c r="S944" s="5"/>
      <c r="T944" s="112"/>
      <c r="X944" s="333"/>
      <c r="Y944" s="5"/>
      <c r="AD944" s="333"/>
      <c r="AE944" s="5"/>
      <c r="AJ944" s="333"/>
      <c r="AK944" s="5"/>
      <c r="AP944" s="333"/>
      <c r="AQ944" s="5"/>
    </row>
    <row r="945" ht="15.75" customHeight="1">
      <c r="C945" s="4"/>
      <c r="D945" s="333"/>
      <c r="E945" s="5"/>
      <c r="F945" s="5"/>
      <c r="G945" s="5"/>
      <c r="H945" s="112"/>
      <c r="L945" s="4"/>
      <c r="M945" s="5"/>
      <c r="N945" s="112"/>
      <c r="R945" s="333"/>
      <c r="S945" s="5"/>
      <c r="T945" s="112"/>
      <c r="X945" s="333"/>
      <c r="Y945" s="5"/>
      <c r="AD945" s="333"/>
      <c r="AE945" s="5"/>
      <c r="AJ945" s="333"/>
      <c r="AK945" s="5"/>
      <c r="AP945" s="333"/>
      <c r="AQ945" s="5"/>
    </row>
    <row r="946" ht="15.75" customHeight="1">
      <c r="C946" s="4"/>
      <c r="D946" s="333"/>
      <c r="E946" s="5"/>
      <c r="F946" s="5"/>
      <c r="G946" s="5"/>
      <c r="H946" s="112"/>
      <c r="L946" s="4"/>
      <c r="M946" s="5"/>
      <c r="N946" s="112"/>
      <c r="R946" s="333"/>
      <c r="S946" s="5"/>
      <c r="T946" s="112"/>
      <c r="X946" s="333"/>
      <c r="Y946" s="5"/>
      <c r="AD946" s="333"/>
      <c r="AE946" s="5"/>
      <c r="AJ946" s="333"/>
      <c r="AK946" s="5"/>
      <c r="AP946" s="333"/>
      <c r="AQ946" s="5"/>
    </row>
    <row r="947" ht="15.75" customHeight="1">
      <c r="C947" s="4"/>
      <c r="D947" s="333"/>
      <c r="E947" s="5"/>
      <c r="F947" s="5"/>
      <c r="G947" s="5"/>
      <c r="H947" s="112"/>
      <c r="L947" s="4"/>
      <c r="M947" s="5"/>
      <c r="N947" s="112"/>
      <c r="R947" s="333"/>
      <c r="S947" s="5"/>
      <c r="T947" s="112"/>
      <c r="X947" s="333"/>
      <c r="Y947" s="5"/>
      <c r="AD947" s="333"/>
      <c r="AE947" s="5"/>
      <c r="AJ947" s="333"/>
      <c r="AK947" s="5"/>
      <c r="AP947" s="333"/>
      <c r="AQ947" s="5"/>
    </row>
    <row r="948" ht="15.75" customHeight="1">
      <c r="C948" s="4"/>
      <c r="D948" s="333"/>
      <c r="E948" s="5"/>
      <c r="F948" s="5"/>
      <c r="G948" s="5"/>
      <c r="H948" s="112"/>
      <c r="L948" s="4"/>
      <c r="M948" s="5"/>
      <c r="N948" s="112"/>
      <c r="R948" s="333"/>
      <c r="S948" s="5"/>
      <c r="T948" s="112"/>
      <c r="X948" s="333"/>
      <c r="Y948" s="5"/>
      <c r="AD948" s="333"/>
      <c r="AE948" s="5"/>
      <c r="AJ948" s="333"/>
      <c r="AK948" s="5"/>
      <c r="AP948" s="333"/>
      <c r="AQ948" s="5"/>
    </row>
    <row r="949" ht="15.75" customHeight="1">
      <c r="C949" s="4"/>
      <c r="D949" s="333"/>
      <c r="E949" s="5"/>
      <c r="F949" s="5"/>
      <c r="G949" s="5"/>
      <c r="H949" s="112"/>
      <c r="L949" s="4"/>
      <c r="M949" s="5"/>
      <c r="N949" s="112"/>
      <c r="R949" s="333"/>
      <c r="S949" s="5"/>
      <c r="T949" s="112"/>
      <c r="X949" s="333"/>
      <c r="Y949" s="5"/>
      <c r="AD949" s="333"/>
      <c r="AE949" s="5"/>
      <c r="AJ949" s="333"/>
      <c r="AK949" s="5"/>
      <c r="AP949" s="333"/>
      <c r="AQ949" s="5"/>
    </row>
    <row r="950" ht="15.75" customHeight="1">
      <c r="C950" s="4"/>
      <c r="D950" s="333"/>
      <c r="E950" s="5"/>
      <c r="F950" s="5"/>
      <c r="G950" s="5"/>
      <c r="H950" s="112"/>
      <c r="L950" s="4"/>
      <c r="M950" s="5"/>
      <c r="N950" s="112"/>
      <c r="R950" s="333"/>
      <c r="S950" s="5"/>
      <c r="T950" s="112"/>
      <c r="X950" s="333"/>
      <c r="Y950" s="5"/>
      <c r="AD950" s="333"/>
      <c r="AE950" s="5"/>
      <c r="AJ950" s="333"/>
      <c r="AK950" s="5"/>
      <c r="AP950" s="333"/>
      <c r="AQ950" s="5"/>
    </row>
    <row r="951" ht="15.75" customHeight="1">
      <c r="C951" s="4"/>
      <c r="D951" s="333"/>
      <c r="E951" s="5"/>
      <c r="F951" s="5"/>
      <c r="G951" s="5"/>
      <c r="H951" s="112"/>
      <c r="L951" s="4"/>
      <c r="M951" s="5"/>
      <c r="N951" s="112"/>
      <c r="R951" s="333"/>
      <c r="S951" s="5"/>
      <c r="T951" s="112"/>
      <c r="X951" s="333"/>
      <c r="Y951" s="5"/>
      <c r="AD951" s="333"/>
      <c r="AE951" s="5"/>
      <c r="AJ951" s="333"/>
      <c r="AK951" s="5"/>
      <c r="AP951" s="333"/>
      <c r="AQ951" s="5"/>
    </row>
    <row r="952" ht="15.75" customHeight="1">
      <c r="C952" s="4"/>
      <c r="D952" s="333"/>
      <c r="E952" s="5"/>
      <c r="F952" s="5"/>
      <c r="G952" s="5"/>
      <c r="H952" s="112"/>
      <c r="L952" s="4"/>
      <c r="M952" s="5"/>
      <c r="N952" s="112"/>
      <c r="R952" s="333"/>
      <c r="S952" s="5"/>
      <c r="T952" s="112"/>
      <c r="X952" s="333"/>
      <c r="Y952" s="5"/>
      <c r="AD952" s="333"/>
      <c r="AE952" s="5"/>
      <c r="AJ952" s="333"/>
      <c r="AK952" s="5"/>
      <c r="AP952" s="333"/>
      <c r="AQ952" s="5"/>
    </row>
    <row r="953" ht="15.75" customHeight="1">
      <c r="C953" s="4"/>
      <c r="D953" s="333"/>
      <c r="E953" s="5"/>
      <c r="F953" s="5"/>
      <c r="G953" s="5"/>
      <c r="H953" s="112"/>
      <c r="L953" s="4"/>
      <c r="M953" s="5"/>
      <c r="N953" s="112"/>
      <c r="R953" s="333"/>
      <c r="S953" s="5"/>
      <c r="T953" s="112"/>
      <c r="X953" s="333"/>
      <c r="Y953" s="5"/>
      <c r="AD953" s="333"/>
      <c r="AE953" s="5"/>
      <c r="AJ953" s="333"/>
      <c r="AK953" s="5"/>
      <c r="AP953" s="333"/>
      <c r="AQ953" s="5"/>
    </row>
    <row r="954" ht="15.75" customHeight="1">
      <c r="C954" s="4"/>
      <c r="D954" s="333"/>
      <c r="E954" s="5"/>
      <c r="F954" s="5"/>
      <c r="G954" s="5"/>
      <c r="H954" s="112"/>
      <c r="L954" s="4"/>
      <c r="M954" s="5"/>
      <c r="N954" s="112"/>
      <c r="R954" s="333"/>
      <c r="S954" s="5"/>
      <c r="T954" s="112"/>
      <c r="X954" s="333"/>
      <c r="Y954" s="5"/>
      <c r="AD954" s="333"/>
      <c r="AE954" s="5"/>
      <c r="AJ954" s="333"/>
      <c r="AK954" s="5"/>
      <c r="AP954" s="333"/>
      <c r="AQ954" s="5"/>
    </row>
    <row r="955" ht="15.75" customHeight="1">
      <c r="C955" s="4"/>
      <c r="D955" s="333"/>
      <c r="E955" s="5"/>
      <c r="F955" s="5"/>
      <c r="G955" s="5"/>
      <c r="H955" s="112"/>
      <c r="L955" s="4"/>
      <c r="M955" s="5"/>
      <c r="N955" s="112"/>
      <c r="R955" s="333"/>
      <c r="S955" s="5"/>
      <c r="T955" s="112"/>
      <c r="X955" s="333"/>
      <c r="Y955" s="5"/>
      <c r="AD955" s="333"/>
      <c r="AE955" s="5"/>
      <c r="AJ955" s="333"/>
      <c r="AK955" s="5"/>
      <c r="AP955" s="333"/>
      <c r="AQ955" s="5"/>
    </row>
    <row r="956" ht="15.75" customHeight="1">
      <c r="C956" s="4"/>
      <c r="D956" s="333"/>
      <c r="E956" s="5"/>
      <c r="F956" s="5"/>
      <c r="G956" s="5"/>
      <c r="H956" s="112"/>
      <c r="L956" s="4"/>
      <c r="M956" s="5"/>
      <c r="N956" s="112"/>
      <c r="R956" s="333"/>
      <c r="S956" s="5"/>
      <c r="T956" s="112"/>
      <c r="X956" s="333"/>
      <c r="Y956" s="5"/>
      <c r="AD956" s="333"/>
      <c r="AE956" s="5"/>
      <c r="AJ956" s="333"/>
      <c r="AK956" s="5"/>
      <c r="AP956" s="333"/>
      <c r="AQ956" s="5"/>
    </row>
    <row r="957" ht="15.75" customHeight="1">
      <c r="C957" s="4"/>
      <c r="D957" s="333"/>
      <c r="E957" s="5"/>
      <c r="F957" s="5"/>
      <c r="G957" s="5"/>
      <c r="H957" s="112"/>
      <c r="L957" s="4"/>
      <c r="M957" s="5"/>
      <c r="N957" s="112"/>
      <c r="R957" s="333"/>
      <c r="S957" s="5"/>
      <c r="T957" s="112"/>
      <c r="X957" s="333"/>
      <c r="Y957" s="5"/>
      <c r="AD957" s="333"/>
      <c r="AE957" s="5"/>
      <c r="AJ957" s="333"/>
      <c r="AK957" s="5"/>
      <c r="AP957" s="333"/>
      <c r="AQ957" s="5"/>
    </row>
    <row r="958" ht="15.75" customHeight="1">
      <c r="C958" s="4"/>
      <c r="D958" s="333"/>
      <c r="E958" s="5"/>
      <c r="F958" s="5"/>
      <c r="G958" s="5"/>
      <c r="H958" s="112"/>
      <c r="L958" s="4"/>
      <c r="M958" s="5"/>
      <c r="N958" s="112"/>
      <c r="R958" s="333"/>
      <c r="S958" s="5"/>
      <c r="T958" s="112"/>
      <c r="X958" s="333"/>
      <c r="Y958" s="5"/>
      <c r="AD958" s="333"/>
      <c r="AE958" s="5"/>
      <c r="AJ958" s="333"/>
      <c r="AK958" s="5"/>
      <c r="AP958" s="333"/>
      <c r="AQ958" s="5"/>
    </row>
    <row r="959" ht="15.75" customHeight="1">
      <c r="C959" s="4"/>
      <c r="D959" s="333"/>
      <c r="E959" s="5"/>
      <c r="F959" s="5"/>
      <c r="G959" s="5"/>
      <c r="H959" s="112"/>
      <c r="L959" s="4"/>
      <c r="M959" s="5"/>
      <c r="N959" s="112"/>
      <c r="R959" s="333"/>
      <c r="S959" s="5"/>
      <c r="T959" s="112"/>
      <c r="X959" s="333"/>
      <c r="Y959" s="5"/>
      <c r="AD959" s="333"/>
      <c r="AE959" s="5"/>
      <c r="AJ959" s="333"/>
      <c r="AK959" s="5"/>
      <c r="AP959" s="333"/>
      <c r="AQ959" s="5"/>
    </row>
    <row r="960" ht="15.75" customHeight="1">
      <c r="C960" s="4"/>
      <c r="D960" s="333"/>
      <c r="E960" s="5"/>
      <c r="F960" s="5"/>
      <c r="G960" s="5"/>
      <c r="H960" s="112"/>
      <c r="L960" s="4"/>
      <c r="M960" s="5"/>
      <c r="N960" s="112"/>
      <c r="R960" s="333"/>
      <c r="S960" s="5"/>
      <c r="T960" s="112"/>
      <c r="X960" s="333"/>
      <c r="Y960" s="5"/>
      <c r="AD960" s="333"/>
      <c r="AE960" s="5"/>
      <c r="AJ960" s="333"/>
      <c r="AK960" s="5"/>
      <c r="AP960" s="333"/>
      <c r="AQ960" s="5"/>
    </row>
    <row r="961" ht="15.75" customHeight="1">
      <c r="C961" s="4"/>
      <c r="D961" s="333"/>
      <c r="E961" s="5"/>
      <c r="F961" s="5"/>
      <c r="G961" s="5"/>
      <c r="H961" s="112"/>
      <c r="L961" s="4"/>
      <c r="M961" s="5"/>
      <c r="N961" s="112"/>
      <c r="R961" s="333"/>
      <c r="S961" s="5"/>
      <c r="T961" s="112"/>
      <c r="X961" s="333"/>
      <c r="Y961" s="5"/>
      <c r="AD961" s="333"/>
      <c r="AE961" s="5"/>
      <c r="AJ961" s="333"/>
      <c r="AK961" s="5"/>
      <c r="AP961" s="333"/>
      <c r="AQ961" s="5"/>
    </row>
    <row r="962" ht="15.75" customHeight="1">
      <c r="C962" s="4"/>
      <c r="D962" s="333"/>
      <c r="E962" s="5"/>
      <c r="F962" s="5"/>
      <c r="G962" s="5"/>
      <c r="H962" s="112"/>
      <c r="L962" s="4"/>
      <c r="M962" s="5"/>
      <c r="N962" s="112"/>
      <c r="R962" s="333"/>
      <c r="S962" s="5"/>
      <c r="T962" s="112"/>
      <c r="X962" s="333"/>
      <c r="Y962" s="5"/>
      <c r="AD962" s="333"/>
      <c r="AE962" s="5"/>
      <c r="AJ962" s="333"/>
      <c r="AK962" s="5"/>
      <c r="AP962" s="333"/>
      <c r="AQ962" s="5"/>
    </row>
    <row r="963" ht="15.75" customHeight="1">
      <c r="C963" s="4"/>
      <c r="D963" s="333"/>
      <c r="E963" s="5"/>
      <c r="F963" s="5"/>
      <c r="G963" s="5"/>
      <c r="H963" s="112"/>
      <c r="L963" s="4"/>
      <c r="M963" s="5"/>
      <c r="N963" s="112"/>
      <c r="R963" s="333"/>
      <c r="S963" s="5"/>
      <c r="T963" s="112"/>
      <c r="X963" s="333"/>
      <c r="Y963" s="5"/>
      <c r="AD963" s="333"/>
      <c r="AE963" s="5"/>
      <c r="AJ963" s="333"/>
      <c r="AK963" s="5"/>
      <c r="AP963" s="333"/>
      <c r="AQ963" s="5"/>
    </row>
    <row r="964" ht="15.75" customHeight="1">
      <c r="C964" s="4"/>
      <c r="D964" s="333"/>
      <c r="E964" s="5"/>
      <c r="F964" s="5"/>
      <c r="G964" s="5"/>
      <c r="H964" s="112"/>
      <c r="L964" s="4"/>
      <c r="M964" s="5"/>
      <c r="N964" s="112"/>
      <c r="R964" s="333"/>
      <c r="S964" s="5"/>
      <c r="T964" s="112"/>
      <c r="X964" s="333"/>
      <c r="Y964" s="5"/>
      <c r="AD964" s="333"/>
      <c r="AE964" s="5"/>
      <c r="AJ964" s="333"/>
      <c r="AK964" s="5"/>
      <c r="AP964" s="333"/>
      <c r="AQ964" s="5"/>
    </row>
    <row r="965" ht="15.75" customHeight="1">
      <c r="C965" s="4"/>
      <c r="D965" s="333"/>
      <c r="E965" s="5"/>
      <c r="F965" s="5"/>
      <c r="G965" s="5"/>
      <c r="H965" s="112"/>
      <c r="L965" s="4"/>
      <c r="M965" s="5"/>
      <c r="N965" s="112"/>
      <c r="R965" s="333"/>
      <c r="S965" s="5"/>
      <c r="T965" s="112"/>
      <c r="X965" s="333"/>
      <c r="Y965" s="5"/>
      <c r="AD965" s="333"/>
      <c r="AE965" s="5"/>
      <c r="AJ965" s="333"/>
      <c r="AK965" s="5"/>
      <c r="AP965" s="333"/>
      <c r="AQ965" s="5"/>
    </row>
    <row r="966" ht="15.75" customHeight="1">
      <c r="C966" s="4"/>
      <c r="D966" s="333"/>
      <c r="E966" s="5"/>
      <c r="F966" s="5"/>
      <c r="G966" s="5"/>
      <c r="H966" s="112"/>
      <c r="L966" s="4"/>
      <c r="M966" s="5"/>
      <c r="N966" s="112"/>
      <c r="R966" s="333"/>
      <c r="S966" s="5"/>
      <c r="T966" s="112"/>
      <c r="X966" s="333"/>
      <c r="Y966" s="5"/>
      <c r="AD966" s="333"/>
      <c r="AE966" s="5"/>
      <c r="AJ966" s="333"/>
      <c r="AK966" s="5"/>
      <c r="AP966" s="333"/>
      <c r="AQ966" s="5"/>
    </row>
    <row r="967" ht="15.75" customHeight="1">
      <c r="C967" s="4"/>
      <c r="D967" s="333"/>
      <c r="E967" s="5"/>
      <c r="F967" s="5"/>
      <c r="G967" s="5"/>
      <c r="H967" s="112"/>
      <c r="L967" s="4"/>
      <c r="M967" s="5"/>
      <c r="N967" s="112"/>
      <c r="R967" s="333"/>
      <c r="S967" s="5"/>
      <c r="T967" s="112"/>
      <c r="X967" s="333"/>
      <c r="Y967" s="5"/>
      <c r="AD967" s="333"/>
      <c r="AE967" s="5"/>
      <c r="AJ967" s="333"/>
      <c r="AK967" s="5"/>
      <c r="AP967" s="333"/>
      <c r="AQ967" s="5"/>
    </row>
    <row r="968" ht="15.75" customHeight="1">
      <c r="C968" s="4"/>
      <c r="D968" s="333"/>
      <c r="E968" s="5"/>
      <c r="F968" s="5"/>
      <c r="G968" s="5"/>
      <c r="H968" s="112"/>
      <c r="L968" s="4"/>
      <c r="M968" s="5"/>
      <c r="N968" s="112"/>
      <c r="R968" s="333"/>
      <c r="S968" s="5"/>
      <c r="T968" s="112"/>
      <c r="X968" s="333"/>
      <c r="Y968" s="5"/>
      <c r="AD968" s="333"/>
      <c r="AE968" s="5"/>
      <c r="AJ968" s="333"/>
      <c r="AK968" s="5"/>
      <c r="AP968" s="333"/>
      <c r="AQ968" s="5"/>
    </row>
    <row r="969" ht="15.75" customHeight="1">
      <c r="C969" s="4"/>
      <c r="D969" s="333"/>
      <c r="E969" s="5"/>
      <c r="F969" s="5"/>
      <c r="G969" s="5"/>
      <c r="H969" s="112"/>
      <c r="L969" s="4"/>
      <c r="M969" s="5"/>
      <c r="N969" s="112"/>
      <c r="R969" s="333"/>
      <c r="S969" s="5"/>
      <c r="T969" s="112"/>
      <c r="X969" s="333"/>
      <c r="Y969" s="5"/>
      <c r="AD969" s="333"/>
      <c r="AE969" s="5"/>
      <c r="AJ969" s="333"/>
      <c r="AK969" s="5"/>
      <c r="AP969" s="333"/>
      <c r="AQ969" s="5"/>
    </row>
    <row r="970" ht="15.75" customHeight="1">
      <c r="C970" s="4"/>
      <c r="D970" s="333"/>
      <c r="E970" s="5"/>
      <c r="F970" s="5"/>
      <c r="G970" s="5"/>
      <c r="H970" s="112"/>
      <c r="L970" s="4"/>
      <c r="M970" s="5"/>
      <c r="N970" s="112"/>
      <c r="R970" s="333"/>
      <c r="S970" s="5"/>
      <c r="T970" s="112"/>
      <c r="X970" s="333"/>
      <c r="Y970" s="5"/>
      <c r="AD970" s="333"/>
      <c r="AE970" s="5"/>
      <c r="AJ970" s="333"/>
      <c r="AK970" s="5"/>
      <c r="AP970" s="333"/>
      <c r="AQ970" s="5"/>
    </row>
    <row r="971" ht="15.75" customHeight="1">
      <c r="C971" s="4"/>
      <c r="D971" s="333"/>
      <c r="E971" s="5"/>
      <c r="F971" s="5"/>
      <c r="G971" s="5"/>
      <c r="H971" s="112"/>
      <c r="L971" s="4"/>
      <c r="M971" s="5"/>
      <c r="N971" s="112"/>
      <c r="R971" s="333"/>
      <c r="S971" s="5"/>
      <c r="T971" s="112"/>
      <c r="X971" s="333"/>
      <c r="Y971" s="5"/>
      <c r="AD971" s="333"/>
      <c r="AE971" s="5"/>
      <c r="AJ971" s="333"/>
      <c r="AK971" s="5"/>
      <c r="AP971" s="333"/>
      <c r="AQ971" s="5"/>
    </row>
    <row r="972" ht="15.75" customHeight="1">
      <c r="C972" s="4"/>
      <c r="D972" s="333"/>
      <c r="E972" s="5"/>
      <c r="F972" s="5"/>
      <c r="G972" s="5"/>
      <c r="H972" s="112"/>
      <c r="L972" s="4"/>
      <c r="M972" s="5"/>
      <c r="N972" s="112"/>
      <c r="R972" s="333"/>
      <c r="S972" s="5"/>
      <c r="T972" s="112"/>
      <c r="X972" s="333"/>
      <c r="Y972" s="5"/>
      <c r="AD972" s="333"/>
      <c r="AE972" s="5"/>
      <c r="AJ972" s="333"/>
      <c r="AK972" s="5"/>
      <c r="AP972" s="333"/>
      <c r="AQ972" s="5"/>
    </row>
    <row r="973" ht="15.75" customHeight="1">
      <c r="C973" s="4"/>
      <c r="D973" s="333"/>
      <c r="E973" s="5"/>
      <c r="F973" s="5"/>
      <c r="G973" s="5"/>
      <c r="H973" s="112"/>
      <c r="L973" s="4"/>
      <c r="M973" s="5"/>
      <c r="N973" s="112"/>
      <c r="R973" s="333"/>
      <c r="S973" s="5"/>
      <c r="T973" s="112"/>
      <c r="X973" s="333"/>
      <c r="Y973" s="5"/>
      <c r="AD973" s="333"/>
      <c r="AE973" s="5"/>
      <c r="AJ973" s="333"/>
      <c r="AK973" s="5"/>
      <c r="AP973" s="333"/>
      <c r="AQ973" s="5"/>
    </row>
    <row r="974" ht="15.75" customHeight="1">
      <c r="C974" s="4"/>
      <c r="D974" s="333"/>
      <c r="E974" s="5"/>
      <c r="F974" s="5"/>
      <c r="G974" s="5"/>
      <c r="H974" s="112"/>
      <c r="L974" s="4"/>
      <c r="M974" s="5"/>
      <c r="N974" s="112"/>
      <c r="R974" s="333"/>
      <c r="S974" s="5"/>
      <c r="T974" s="112"/>
      <c r="X974" s="333"/>
      <c r="Y974" s="5"/>
      <c r="AD974" s="333"/>
      <c r="AE974" s="5"/>
      <c r="AJ974" s="333"/>
      <c r="AK974" s="5"/>
      <c r="AP974" s="333"/>
      <c r="AQ974" s="5"/>
    </row>
    <row r="975" ht="15.75" customHeight="1">
      <c r="C975" s="4"/>
      <c r="D975" s="333"/>
      <c r="E975" s="5"/>
      <c r="F975" s="5"/>
      <c r="G975" s="5"/>
      <c r="H975" s="112"/>
      <c r="L975" s="4"/>
      <c r="M975" s="5"/>
      <c r="N975" s="112"/>
      <c r="R975" s="333"/>
      <c r="S975" s="5"/>
      <c r="T975" s="112"/>
      <c r="X975" s="333"/>
      <c r="Y975" s="5"/>
      <c r="AD975" s="333"/>
      <c r="AE975" s="5"/>
      <c r="AJ975" s="333"/>
      <c r="AK975" s="5"/>
      <c r="AP975" s="333"/>
      <c r="AQ975" s="5"/>
    </row>
    <row r="976" ht="15.75" customHeight="1">
      <c r="C976" s="4"/>
      <c r="D976" s="333"/>
      <c r="E976" s="5"/>
      <c r="F976" s="5"/>
      <c r="G976" s="5"/>
      <c r="H976" s="112"/>
      <c r="L976" s="4"/>
      <c r="M976" s="5"/>
      <c r="N976" s="112"/>
      <c r="R976" s="333"/>
      <c r="S976" s="5"/>
      <c r="T976" s="112"/>
      <c r="X976" s="333"/>
      <c r="Y976" s="5"/>
      <c r="AD976" s="333"/>
      <c r="AE976" s="5"/>
      <c r="AJ976" s="333"/>
      <c r="AK976" s="5"/>
      <c r="AP976" s="333"/>
      <c r="AQ976" s="5"/>
    </row>
    <row r="977" ht="15.75" customHeight="1">
      <c r="C977" s="4"/>
      <c r="D977" s="333"/>
      <c r="E977" s="5"/>
      <c r="F977" s="5"/>
      <c r="G977" s="5"/>
      <c r="H977" s="112"/>
      <c r="L977" s="4"/>
      <c r="M977" s="5"/>
      <c r="N977" s="112"/>
      <c r="R977" s="333"/>
      <c r="S977" s="5"/>
      <c r="T977" s="112"/>
      <c r="X977" s="333"/>
      <c r="Y977" s="5"/>
      <c r="AD977" s="333"/>
      <c r="AE977" s="5"/>
      <c r="AJ977" s="333"/>
      <c r="AK977" s="5"/>
      <c r="AP977" s="333"/>
      <c r="AQ977" s="5"/>
    </row>
    <row r="978" ht="15.75" customHeight="1">
      <c r="C978" s="4"/>
      <c r="D978" s="333"/>
      <c r="E978" s="5"/>
      <c r="F978" s="5"/>
      <c r="G978" s="5"/>
      <c r="H978" s="112"/>
      <c r="L978" s="4"/>
      <c r="M978" s="5"/>
      <c r="N978" s="112"/>
      <c r="R978" s="333"/>
      <c r="S978" s="5"/>
      <c r="T978" s="112"/>
      <c r="X978" s="333"/>
      <c r="Y978" s="5"/>
      <c r="AD978" s="333"/>
      <c r="AE978" s="5"/>
      <c r="AJ978" s="333"/>
      <c r="AK978" s="5"/>
      <c r="AP978" s="333"/>
      <c r="AQ978" s="5"/>
    </row>
    <row r="979" ht="15.75" customHeight="1">
      <c r="C979" s="4"/>
      <c r="D979" s="333"/>
      <c r="E979" s="5"/>
      <c r="F979" s="5"/>
      <c r="G979" s="5"/>
      <c r="H979" s="112"/>
      <c r="L979" s="4"/>
      <c r="M979" s="5"/>
      <c r="N979" s="112"/>
      <c r="R979" s="333"/>
      <c r="S979" s="5"/>
      <c r="T979" s="112"/>
      <c r="X979" s="333"/>
      <c r="Y979" s="5"/>
      <c r="AD979" s="333"/>
      <c r="AE979" s="5"/>
      <c r="AJ979" s="333"/>
      <c r="AK979" s="5"/>
      <c r="AP979" s="333"/>
      <c r="AQ979" s="5"/>
    </row>
    <row r="980" ht="15.75" customHeight="1">
      <c r="C980" s="4"/>
      <c r="D980" s="333"/>
      <c r="E980" s="5"/>
      <c r="F980" s="5"/>
      <c r="G980" s="5"/>
      <c r="H980" s="112"/>
      <c r="L980" s="4"/>
      <c r="M980" s="5"/>
      <c r="N980" s="112"/>
      <c r="R980" s="333"/>
      <c r="S980" s="5"/>
      <c r="T980" s="112"/>
      <c r="X980" s="333"/>
      <c r="Y980" s="5"/>
      <c r="AD980" s="333"/>
      <c r="AE980" s="5"/>
      <c r="AJ980" s="333"/>
      <c r="AK980" s="5"/>
      <c r="AP980" s="333"/>
      <c r="AQ980" s="5"/>
    </row>
    <row r="981" ht="15.75" customHeight="1">
      <c r="C981" s="4"/>
      <c r="D981" s="333"/>
      <c r="E981" s="5"/>
      <c r="F981" s="5"/>
      <c r="G981" s="5"/>
      <c r="H981" s="112"/>
      <c r="L981" s="4"/>
      <c r="M981" s="5"/>
      <c r="N981" s="112"/>
      <c r="R981" s="333"/>
      <c r="S981" s="5"/>
      <c r="T981" s="112"/>
      <c r="X981" s="333"/>
      <c r="Y981" s="5"/>
      <c r="AD981" s="333"/>
      <c r="AE981" s="5"/>
      <c r="AJ981" s="333"/>
      <c r="AK981" s="5"/>
      <c r="AP981" s="333"/>
      <c r="AQ981" s="5"/>
    </row>
    <row r="982" ht="15.75" customHeight="1">
      <c r="C982" s="4"/>
      <c r="D982" s="333"/>
      <c r="E982" s="5"/>
      <c r="F982" s="5"/>
      <c r="G982" s="5"/>
      <c r="H982" s="112"/>
      <c r="L982" s="4"/>
      <c r="M982" s="5"/>
      <c r="N982" s="112"/>
      <c r="R982" s="333"/>
      <c r="S982" s="5"/>
      <c r="T982" s="112"/>
      <c r="X982" s="333"/>
      <c r="Y982" s="5"/>
      <c r="AD982" s="333"/>
      <c r="AE982" s="5"/>
      <c r="AJ982" s="333"/>
      <c r="AK982" s="5"/>
      <c r="AP982" s="333"/>
      <c r="AQ982" s="5"/>
    </row>
    <row r="983" ht="15.75" customHeight="1">
      <c r="C983" s="4"/>
      <c r="D983" s="333"/>
      <c r="E983" s="5"/>
      <c r="F983" s="5"/>
      <c r="G983" s="5"/>
      <c r="H983" s="112"/>
      <c r="L983" s="4"/>
      <c r="M983" s="5"/>
      <c r="N983" s="112"/>
      <c r="R983" s="333"/>
      <c r="S983" s="5"/>
      <c r="T983" s="112"/>
      <c r="X983" s="333"/>
      <c r="Y983" s="5"/>
      <c r="AD983" s="333"/>
      <c r="AE983" s="5"/>
      <c r="AJ983" s="333"/>
      <c r="AK983" s="5"/>
      <c r="AP983" s="333"/>
      <c r="AQ983" s="5"/>
    </row>
    <row r="984" ht="15.75" customHeight="1">
      <c r="C984" s="4"/>
      <c r="D984" s="333"/>
      <c r="E984" s="5"/>
      <c r="F984" s="5"/>
      <c r="G984" s="5"/>
      <c r="H984" s="112"/>
      <c r="L984" s="4"/>
      <c r="M984" s="5"/>
      <c r="N984" s="112"/>
      <c r="R984" s="333"/>
      <c r="S984" s="5"/>
      <c r="T984" s="112"/>
      <c r="X984" s="333"/>
      <c r="Y984" s="5"/>
      <c r="AD984" s="333"/>
      <c r="AE984" s="5"/>
      <c r="AJ984" s="333"/>
      <c r="AK984" s="5"/>
      <c r="AP984" s="333"/>
      <c r="AQ984" s="5"/>
    </row>
    <row r="985" ht="15.75" customHeight="1">
      <c r="C985" s="4"/>
      <c r="D985" s="333"/>
      <c r="E985" s="5"/>
      <c r="F985" s="5"/>
      <c r="G985" s="5"/>
      <c r="H985" s="112"/>
      <c r="L985" s="4"/>
      <c r="M985" s="5"/>
      <c r="N985" s="112"/>
      <c r="R985" s="333"/>
      <c r="S985" s="5"/>
      <c r="T985" s="112"/>
      <c r="X985" s="333"/>
      <c r="Y985" s="5"/>
      <c r="AD985" s="333"/>
      <c r="AE985" s="5"/>
      <c r="AJ985" s="333"/>
      <c r="AK985" s="5"/>
      <c r="AP985" s="333"/>
      <c r="AQ985" s="5"/>
    </row>
    <row r="986" ht="15.75" customHeight="1">
      <c r="C986" s="4"/>
      <c r="D986" s="333"/>
      <c r="E986" s="5"/>
      <c r="F986" s="5"/>
      <c r="G986" s="5"/>
      <c r="H986" s="112"/>
      <c r="L986" s="4"/>
      <c r="M986" s="5"/>
      <c r="N986" s="112"/>
      <c r="R986" s="333"/>
      <c r="S986" s="5"/>
      <c r="T986" s="112"/>
      <c r="X986" s="333"/>
      <c r="Y986" s="5"/>
      <c r="AD986" s="333"/>
      <c r="AE986" s="5"/>
      <c r="AJ986" s="333"/>
      <c r="AK986" s="5"/>
      <c r="AP986" s="333"/>
      <c r="AQ986" s="5"/>
    </row>
    <row r="987" ht="15.75" customHeight="1">
      <c r="C987" s="4"/>
      <c r="D987" s="333"/>
      <c r="E987" s="5"/>
      <c r="F987" s="5"/>
      <c r="G987" s="5"/>
      <c r="H987" s="112"/>
      <c r="L987" s="4"/>
      <c r="M987" s="5"/>
      <c r="N987" s="112"/>
      <c r="R987" s="333"/>
      <c r="S987" s="5"/>
      <c r="T987" s="112"/>
      <c r="X987" s="333"/>
      <c r="Y987" s="5"/>
      <c r="AD987" s="333"/>
      <c r="AE987" s="5"/>
      <c r="AJ987" s="333"/>
      <c r="AK987" s="5"/>
      <c r="AP987" s="333"/>
      <c r="AQ987" s="5"/>
    </row>
    <row r="988" ht="15.75" customHeight="1">
      <c r="C988" s="4"/>
      <c r="D988" s="333"/>
      <c r="E988" s="5"/>
      <c r="F988" s="5"/>
      <c r="G988" s="5"/>
      <c r="H988" s="112"/>
      <c r="L988" s="4"/>
      <c r="M988" s="5"/>
      <c r="N988" s="112"/>
      <c r="R988" s="333"/>
      <c r="S988" s="5"/>
      <c r="T988" s="112"/>
      <c r="X988" s="333"/>
      <c r="Y988" s="5"/>
      <c r="AD988" s="333"/>
      <c r="AE988" s="5"/>
      <c r="AJ988" s="333"/>
      <c r="AK988" s="5"/>
      <c r="AP988" s="333"/>
      <c r="AQ988" s="5"/>
    </row>
    <row r="989" ht="15.75" customHeight="1">
      <c r="C989" s="4"/>
      <c r="D989" s="333"/>
      <c r="E989" s="5"/>
      <c r="F989" s="5"/>
      <c r="G989" s="5"/>
      <c r="H989" s="112"/>
      <c r="L989" s="4"/>
      <c r="M989" s="5"/>
      <c r="N989" s="112"/>
      <c r="R989" s="333"/>
      <c r="S989" s="5"/>
      <c r="T989" s="112"/>
      <c r="X989" s="333"/>
      <c r="Y989" s="5"/>
      <c r="AD989" s="333"/>
      <c r="AE989" s="5"/>
      <c r="AJ989" s="333"/>
      <c r="AK989" s="5"/>
      <c r="AP989" s="333"/>
      <c r="AQ989" s="5"/>
    </row>
    <row r="990" ht="15.75" customHeight="1">
      <c r="C990" s="4"/>
      <c r="D990" s="333"/>
      <c r="E990" s="5"/>
      <c r="F990" s="5"/>
      <c r="G990" s="5"/>
      <c r="H990" s="112"/>
      <c r="L990" s="4"/>
      <c r="M990" s="5"/>
      <c r="N990" s="112"/>
      <c r="R990" s="333"/>
      <c r="S990" s="5"/>
      <c r="T990" s="112"/>
      <c r="X990" s="333"/>
      <c r="Y990" s="5"/>
      <c r="AD990" s="333"/>
      <c r="AE990" s="5"/>
      <c r="AJ990" s="333"/>
      <c r="AK990" s="5"/>
      <c r="AP990" s="333"/>
      <c r="AQ990" s="5"/>
    </row>
    <row r="991" ht="15.75" customHeight="1">
      <c r="C991" s="4"/>
      <c r="D991" s="333"/>
      <c r="E991" s="5"/>
      <c r="F991" s="5"/>
      <c r="G991" s="5"/>
      <c r="H991" s="112"/>
      <c r="L991" s="4"/>
      <c r="M991" s="5"/>
      <c r="N991" s="112"/>
      <c r="R991" s="333"/>
      <c r="S991" s="5"/>
      <c r="T991" s="112"/>
      <c r="X991" s="333"/>
      <c r="Y991" s="5"/>
      <c r="AD991" s="333"/>
      <c r="AE991" s="5"/>
      <c r="AJ991" s="333"/>
      <c r="AK991" s="5"/>
      <c r="AP991" s="333"/>
      <c r="AQ991" s="5"/>
    </row>
    <row r="992" ht="15.75" customHeight="1">
      <c r="C992" s="4"/>
      <c r="D992" s="333"/>
      <c r="E992" s="5"/>
      <c r="F992" s="5"/>
      <c r="G992" s="5"/>
      <c r="H992" s="112"/>
      <c r="L992" s="4"/>
      <c r="M992" s="5"/>
      <c r="N992" s="112"/>
      <c r="R992" s="333"/>
      <c r="S992" s="5"/>
      <c r="T992" s="112"/>
      <c r="X992" s="333"/>
      <c r="Y992" s="5"/>
      <c r="AD992" s="333"/>
      <c r="AE992" s="5"/>
      <c r="AJ992" s="333"/>
      <c r="AK992" s="5"/>
      <c r="AP992" s="333"/>
      <c r="AQ992" s="5"/>
    </row>
    <row r="993" ht="15.75" customHeight="1">
      <c r="C993" s="4"/>
      <c r="D993" s="333"/>
      <c r="E993" s="5"/>
      <c r="F993" s="5"/>
      <c r="G993" s="5"/>
      <c r="H993" s="112"/>
      <c r="L993" s="4"/>
      <c r="M993" s="5"/>
      <c r="N993" s="112"/>
      <c r="R993" s="333"/>
      <c r="S993" s="5"/>
      <c r="T993" s="112"/>
      <c r="X993" s="333"/>
      <c r="Y993" s="5"/>
      <c r="AD993" s="333"/>
      <c r="AE993" s="5"/>
      <c r="AJ993" s="333"/>
      <c r="AK993" s="5"/>
      <c r="AP993" s="333"/>
      <c r="AQ993" s="5"/>
    </row>
    <row r="994" ht="15.75" customHeight="1">
      <c r="C994" s="4"/>
      <c r="D994" s="333"/>
      <c r="E994" s="5"/>
      <c r="F994" s="5"/>
      <c r="G994" s="5"/>
      <c r="H994" s="112"/>
      <c r="L994" s="4"/>
      <c r="M994" s="5"/>
      <c r="N994" s="112"/>
      <c r="R994" s="333"/>
      <c r="S994" s="5"/>
      <c r="T994" s="112"/>
      <c r="X994" s="333"/>
      <c r="Y994" s="5"/>
      <c r="AD994" s="333"/>
      <c r="AE994" s="5"/>
      <c r="AJ994" s="333"/>
      <c r="AK994" s="5"/>
      <c r="AP994" s="333"/>
      <c r="AQ994" s="5"/>
    </row>
    <row r="995" ht="15.75" customHeight="1">
      <c r="C995" s="4"/>
      <c r="D995" s="333"/>
      <c r="E995" s="5"/>
      <c r="F995" s="5"/>
      <c r="G995" s="5"/>
      <c r="H995" s="112"/>
      <c r="L995" s="4"/>
      <c r="M995" s="5"/>
      <c r="N995" s="112"/>
      <c r="R995" s="333"/>
      <c r="S995" s="5"/>
      <c r="T995" s="112"/>
      <c r="X995" s="333"/>
      <c r="Y995" s="5"/>
      <c r="AD995" s="333"/>
      <c r="AE995" s="5"/>
      <c r="AJ995" s="333"/>
      <c r="AK995" s="5"/>
      <c r="AP995" s="333"/>
      <c r="AQ995" s="5"/>
    </row>
    <row r="996" ht="15.75" customHeight="1">
      <c r="C996" s="4"/>
      <c r="D996" s="333"/>
      <c r="E996" s="5"/>
      <c r="F996" s="5"/>
      <c r="G996" s="5"/>
      <c r="H996" s="112"/>
      <c r="L996" s="4"/>
      <c r="M996" s="5"/>
      <c r="N996" s="112"/>
      <c r="R996" s="333"/>
      <c r="S996" s="5"/>
      <c r="T996" s="112"/>
      <c r="X996" s="333"/>
      <c r="Y996" s="5"/>
      <c r="AD996" s="333"/>
      <c r="AE996" s="5"/>
      <c r="AJ996" s="333"/>
      <c r="AK996" s="5"/>
      <c r="AP996" s="333"/>
      <c r="AQ996" s="5"/>
    </row>
    <row r="997" ht="15.75" customHeight="1">
      <c r="C997" s="4"/>
      <c r="D997" s="333"/>
      <c r="E997" s="5"/>
      <c r="F997" s="5"/>
      <c r="G997" s="5"/>
      <c r="H997" s="112"/>
      <c r="L997" s="4"/>
      <c r="M997" s="5"/>
      <c r="N997" s="112"/>
      <c r="R997" s="333"/>
      <c r="S997" s="5"/>
      <c r="T997" s="112"/>
      <c r="X997" s="333"/>
      <c r="Y997" s="5"/>
      <c r="AD997" s="333"/>
      <c r="AE997" s="5"/>
      <c r="AJ997" s="333"/>
      <c r="AK997" s="5"/>
      <c r="AP997" s="333"/>
      <c r="AQ997" s="5"/>
    </row>
    <row r="998" ht="15.75" customHeight="1">
      <c r="C998" s="4"/>
      <c r="D998" s="333"/>
      <c r="E998" s="5"/>
      <c r="F998" s="5"/>
      <c r="G998" s="5"/>
      <c r="H998" s="112"/>
      <c r="L998" s="4"/>
      <c r="M998" s="5"/>
      <c r="N998" s="112"/>
      <c r="R998" s="333"/>
      <c r="S998" s="5"/>
      <c r="T998" s="112"/>
      <c r="X998" s="333"/>
      <c r="Y998" s="5"/>
      <c r="AD998" s="333"/>
      <c r="AE998" s="5"/>
      <c r="AJ998" s="333"/>
      <c r="AK998" s="5"/>
      <c r="AP998" s="333"/>
      <c r="AQ998" s="5"/>
    </row>
    <row r="999" ht="15.75" customHeight="1">
      <c r="C999" s="4"/>
      <c r="D999" s="333"/>
      <c r="E999" s="5"/>
      <c r="F999" s="5"/>
      <c r="G999" s="5"/>
      <c r="H999" s="112"/>
      <c r="L999" s="4"/>
      <c r="M999" s="5"/>
      <c r="N999" s="112"/>
      <c r="R999" s="333"/>
      <c r="S999" s="5"/>
      <c r="T999" s="112"/>
      <c r="X999" s="333"/>
      <c r="Y999" s="5"/>
      <c r="AD999" s="333"/>
      <c r="AE999" s="5"/>
      <c r="AJ999" s="333"/>
      <c r="AK999" s="5"/>
      <c r="AP999" s="333"/>
      <c r="AQ999" s="5"/>
    </row>
    <row r="1000" ht="15.75" customHeight="1">
      <c r="C1000" s="4"/>
      <c r="D1000" s="333"/>
      <c r="E1000" s="5"/>
      <c r="F1000" s="5"/>
      <c r="G1000" s="5"/>
      <c r="H1000" s="112"/>
      <c r="L1000" s="4"/>
      <c r="M1000" s="5"/>
      <c r="N1000" s="112"/>
      <c r="R1000" s="333"/>
      <c r="S1000" s="5"/>
      <c r="T1000" s="112"/>
      <c r="X1000" s="333"/>
      <c r="Y1000" s="5"/>
      <c r="AD1000" s="333"/>
      <c r="AE1000" s="5"/>
      <c r="AJ1000" s="333"/>
      <c r="AK1000" s="5"/>
      <c r="AP1000" s="333"/>
      <c r="AQ1000" s="5"/>
    </row>
  </sheetData>
  <mergeCells count="75">
    <mergeCell ref="AK59:AK60"/>
    <mergeCell ref="AO59:AP60"/>
    <mergeCell ref="AQ59:AQ60"/>
    <mergeCell ref="K56:L57"/>
    <mergeCell ref="M56:M57"/>
    <mergeCell ref="W59:X60"/>
    <mergeCell ref="Y59:Y60"/>
    <mergeCell ref="AC59:AD60"/>
    <mergeCell ref="AE59:AE60"/>
    <mergeCell ref="AI59:AJ60"/>
    <mergeCell ref="W61:X62"/>
    <mergeCell ref="K64:N64"/>
    <mergeCell ref="B101:D101"/>
    <mergeCell ref="B102:D102"/>
    <mergeCell ref="B103:D103"/>
    <mergeCell ref="B104:D104"/>
    <mergeCell ref="B105:D105"/>
    <mergeCell ref="K113:L113"/>
    <mergeCell ref="K167:N167"/>
    <mergeCell ref="K175:L176"/>
    <mergeCell ref="M175:M176"/>
    <mergeCell ref="K110:L111"/>
    <mergeCell ref="M110:M111"/>
    <mergeCell ref="C111:F111"/>
    <mergeCell ref="K112:L112"/>
    <mergeCell ref="B119:H119"/>
    <mergeCell ref="B142:D142"/>
    <mergeCell ref="B143:D143"/>
    <mergeCell ref="B2:H2"/>
    <mergeCell ref="K3:N3"/>
    <mergeCell ref="P3:T3"/>
    <mergeCell ref="W3:Z3"/>
    <mergeCell ref="AC3:AF3"/>
    <mergeCell ref="AI3:AL3"/>
    <mergeCell ref="AO3:AR3"/>
    <mergeCell ref="AC43:AD44"/>
    <mergeCell ref="AE43:AE44"/>
    <mergeCell ref="AI43:AJ44"/>
    <mergeCell ref="AK43:AK44"/>
    <mergeCell ref="AO43:AP44"/>
    <mergeCell ref="AQ43:AQ44"/>
    <mergeCell ref="B43:D43"/>
    <mergeCell ref="K43:L44"/>
    <mergeCell ref="M43:M44"/>
    <mergeCell ref="P43:R44"/>
    <mergeCell ref="S43:S44"/>
    <mergeCell ref="W43:X44"/>
    <mergeCell ref="Y43:Y44"/>
    <mergeCell ref="AI45:AJ46"/>
    <mergeCell ref="AK45:AK46"/>
    <mergeCell ref="AO45:AP46"/>
    <mergeCell ref="AQ45:AQ46"/>
    <mergeCell ref="AI48:AL48"/>
    <mergeCell ref="AO48:AR48"/>
    <mergeCell ref="B44:D44"/>
    <mergeCell ref="B45:D45"/>
    <mergeCell ref="W45:X46"/>
    <mergeCell ref="Y45:Y46"/>
    <mergeCell ref="AC45:AD46"/>
    <mergeCell ref="AE45:AE46"/>
    <mergeCell ref="B46:D46"/>
    <mergeCell ref="K45:L45"/>
    <mergeCell ref="K46:L46"/>
    <mergeCell ref="B47:D47"/>
    <mergeCell ref="K48:N48"/>
    <mergeCell ref="W48:Z48"/>
    <mergeCell ref="AC48:AF48"/>
    <mergeCell ref="B54:H54"/>
    <mergeCell ref="Y61:Y62"/>
    <mergeCell ref="AC61:AD62"/>
    <mergeCell ref="AE61:AE62"/>
    <mergeCell ref="AI61:AJ62"/>
    <mergeCell ref="AK61:AK62"/>
    <mergeCell ref="AO61:AP62"/>
    <mergeCell ref="AQ61:AQ62"/>
  </mergeCells>
  <printOptions/>
  <pageMargins bottom="0.7480314960629921" footer="0.0" header="0.0" left="0.23622047244094488" right="0.23622047244094488" top="0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4">
      <c r="C4" s="341" t="s">
        <v>334</v>
      </c>
      <c r="D4" s="342" t="s">
        <v>9</v>
      </c>
      <c r="E4" s="343" t="s">
        <v>11</v>
      </c>
      <c r="F4" s="344" t="s">
        <v>14</v>
      </c>
    </row>
    <row r="5">
      <c r="D5" s="333" t="str">
        <f t="shared" ref="D5:F5" si="1">IF($P5="Uz casnic",#REF!,"")</f>
        <v/>
      </c>
      <c r="E5" s="5" t="str">
        <f t="shared" si="1"/>
        <v/>
      </c>
      <c r="F5" s="7" t="str">
        <f t="shared" si="1"/>
        <v/>
      </c>
    </row>
    <row r="6">
      <c r="C6" s="7" t="str">
        <f t="shared" ref="C6:F6" si="2">IF($P6="Uz casnic",#REF!,"")</f>
        <v/>
      </c>
      <c r="D6" s="333" t="str">
        <f t="shared" si="2"/>
        <v/>
      </c>
      <c r="E6" s="5" t="str">
        <f t="shared" si="2"/>
        <v/>
      </c>
      <c r="F6" s="7" t="str">
        <f t="shared" si="2"/>
        <v/>
      </c>
    </row>
    <row r="7">
      <c r="C7" s="7" t="str">
        <f t="shared" ref="C7:F7" si="3">IF($P7="Uz casnic",#REF!,"")</f>
        <v/>
      </c>
      <c r="D7" s="333" t="str">
        <f t="shared" si="3"/>
        <v/>
      </c>
      <c r="E7" s="5" t="str">
        <f t="shared" si="3"/>
        <v/>
      </c>
      <c r="F7" s="7" t="str">
        <f t="shared" si="3"/>
        <v/>
      </c>
    </row>
    <row r="8">
      <c r="C8" s="7" t="str">
        <f t="shared" ref="C8:F8" si="4">IF($P8="Uz casnic",#REF!,"")</f>
        <v/>
      </c>
      <c r="D8" s="333" t="str">
        <f t="shared" si="4"/>
        <v/>
      </c>
      <c r="E8" s="5" t="str">
        <f t="shared" si="4"/>
        <v/>
      </c>
      <c r="F8" s="7" t="str">
        <f t="shared" si="4"/>
        <v/>
      </c>
    </row>
    <row r="9">
      <c r="C9" s="7" t="str">
        <f t="shared" ref="C9:F9" si="5">IF($P9="Uz casnic",#REF!,"")</f>
        <v/>
      </c>
      <c r="D9" s="333" t="str">
        <f t="shared" si="5"/>
        <v/>
      </c>
      <c r="E9" s="5" t="str">
        <f t="shared" si="5"/>
        <v/>
      </c>
      <c r="F9" s="7" t="str">
        <f t="shared" si="5"/>
        <v/>
      </c>
    </row>
    <row r="10">
      <c r="C10" s="7" t="str">
        <f t="shared" ref="C10:F10" si="6">IF($P10="Uz casnic",#REF!,"")</f>
        <v/>
      </c>
      <c r="D10" s="333" t="str">
        <f t="shared" si="6"/>
        <v/>
      </c>
      <c r="E10" s="5" t="str">
        <f t="shared" si="6"/>
        <v/>
      </c>
      <c r="F10" s="7" t="str">
        <f t="shared" si="6"/>
        <v/>
      </c>
    </row>
    <row r="11">
      <c r="C11" s="7" t="str">
        <f t="shared" ref="C11:F11" si="7">IF($P11="Uz casnic",#REF!,"")</f>
        <v/>
      </c>
      <c r="D11" s="333" t="str">
        <f t="shared" si="7"/>
        <v/>
      </c>
      <c r="E11" s="5" t="str">
        <f t="shared" si="7"/>
        <v/>
      </c>
      <c r="F11" s="7" t="str">
        <f t="shared" si="7"/>
        <v/>
      </c>
    </row>
    <row r="12">
      <c r="C12" s="7" t="str">
        <f t="shared" ref="C12:F12" si="8">IF($P12="Uz casnic",#REF!,"")</f>
        <v/>
      </c>
      <c r="D12" s="333" t="str">
        <f t="shared" si="8"/>
        <v/>
      </c>
      <c r="E12" s="5" t="str">
        <f t="shared" si="8"/>
        <v/>
      </c>
      <c r="F12" s="7" t="str">
        <f t="shared" si="8"/>
        <v/>
      </c>
    </row>
    <row r="13">
      <c r="C13" s="7" t="str">
        <f t="shared" ref="C13:F13" si="9">IF($P13="Uz casnic",#REF!,"")</f>
        <v/>
      </c>
      <c r="D13" s="333" t="str">
        <f t="shared" si="9"/>
        <v/>
      </c>
      <c r="E13" s="5" t="str">
        <f t="shared" si="9"/>
        <v/>
      </c>
      <c r="F13" s="7" t="str">
        <f t="shared" si="9"/>
        <v/>
      </c>
    </row>
    <row r="14">
      <c r="C14" s="7" t="str">
        <f t="shared" ref="C14:F14" si="10">IF($P14="Uz casnic",#REF!,"")</f>
        <v/>
      </c>
      <c r="D14" s="333" t="str">
        <f t="shared" si="10"/>
        <v/>
      </c>
      <c r="E14" s="5" t="str">
        <f t="shared" si="10"/>
        <v/>
      </c>
      <c r="F14" s="7" t="str">
        <f t="shared" si="10"/>
        <v/>
      </c>
    </row>
    <row r="15">
      <c r="C15" s="7" t="str">
        <f t="shared" ref="C15:F15" si="11">IF($P15="Uz casnic",#REF!,"")</f>
        <v/>
      </c>
      <c r="D15" s="333" t="str">
        <f t="shared" si="11"/>
        <v/>
      </c>
      <c r="E15" s="5" t="str">
        <f t="shared" si="11"/>
        <v/>
      </c>
      <c r="F15" s="7" t="str">
        <f t="shared" si="11"/>
        <v/>
      </c>
    </row>
    <row r="16">
      <c r="C16" s="7" t="str">
        <f t="shared" ref="C16:F16" si="12">IF($P16="Uz casnic",#REF!,"")</f>
        <v/>
      </c>
      <c r="D16" s="333" t="str">
        <f t="shared" si="12"/>
        <v/>
      </c>
      <c r="E16" s="5" t="str">
        <f t="shared" si="12"/>
        <v/>
      </c>
      <c r="F16" s="7" t="str">
        <f t="shared" si="12"/>
        <v/>
      </c>
    </row>
    <row r="17">
      <c r="C17" s="7" t="str">
        <f t="shared" ref="C17:F17" si="13">IF($P17="Uz casnic",#REF!,"")</f>
        <v/>
      </c>
      <c r="D17" s="333" t="str">
        <f t="shared" si="13"/>
        <v/>
      </c>
      <c r="E17" s="5" t="str">
        <f t="shared" si="13"/>
        <v/>
      </c>
      <c r="F17" s="7" t="str">
        <f t="shared" si="13"/>
        <v/>
      </c>
    </row>
    <row r="18">
      <c r="C18" s="7" t="str">
        <f t="shared" ref="C18:F18" si="14">IF($P18="Uz casnic",#REF!,"")</f>
        <v/>
      </c>
      <c r="D18" s="333" t="str">
        <f t="shared" si="14"/>
        <v/>
      </c>
      <c r="E18" s="5" t="str">
        <f t="shared" si="14"/>
        <v/>
      </c>
      <c r="F18" s="7" t="str">
        <f t="shared" si="14"/>
        <v/>
      </c>
    </row>
    <row r="19">
      <c r="C19" s="7" t="str">
        <f t="shared" ref="C19:F19" si="15">IF($P19="Uz casnic",#REF!,"")</f>
        <v/>
      </c>
      <c r="D19" s="333" t="str">
        <f t="shared" si="15"/>
        <v/>
      </c>
      <c r="E19" s="5" t="str">
        <f t="shared" si="15"/>
        <v/>
      </c>
      <c r="F19" s="7" t="str">
        <f t="shared" si="15"/>
        <v/>
      </c>
    </row>
    <row r="20">
      <c r="C20" s="7" t="str">
        <f t="shared" ref="C20:F20" si="16">IF($P20="Uz casnic",#REF!,"")</f>
        <v/>
      </c>
      <c r="D20" s="333" t="str">
        <f t="shared" si="16"/>
        <v/>
      </c>
      <c r="E20" s="5" t="str">
        <f t="shared" si="16"/>
        <v/>
      </c>
      <c r="F20" s="7" t="str">
        <f t="shared" si="16"/>
        <v/>
      </c>
    </row>
    <row r="21" ht="15.75" customHeight="1">
      <c r="C21" s="7" t="str">
        <f t="shared" ref="C21:F21" si="17">IF($P21="Uz casnic",#REF!,"")</f>
        <v/>
      </c>
      <c r="D21" s="333" t="str">
        <f t="shared" si="17"/>
        <v/>
      </c>
      <c r="E21" s="5" t="str">
        <f t="shared" si="17"/>
        <v/>
      </c>
      <c r="F21" s="7" t="str">
        <f t="shared" si="17"/>
        <v/>
      </c>
    </row>
    <row r="22" ht="15.75" customHeight="1">
      <c r="C22" s="7" t="str">
        <f t="shared" ref="C22:F22" si="18">IF($P22="Uz casnic",#REF!,"")</f>
        <v/>
      </c>
      <c r="D22" s="333" t="str">
        <f t="shared" si="18"/>
        <v/>
      </c>
      <c r="E22" s="5" t="str">
        <f t="shared" si="18"/>
        <v/>
      </c>
      <c r="F22" s="7" t="str">
        <f t="shared" si="18"/>
        <v/>
      </c>
    </row>
    <row r="23" ht="15.75" customHeight="1">
      <c r="C23" s="7" t="str">
        <f t="shared" ref="C23:F23" si="19">IF($P23="Uz casnic",#REF!,"")</f>
        <v/>
      </c>
      <c r="D23" s="333" t="str">
        <f t="shared" si="19"/>
        <v/>
      </c>
      <c r="E23" s="5" t="str">
        <f t="shared" si="19"/>
        <v/>
      </c>
      <c r="F23" s="7" t="str">
        <f t="shared" si="19"/>
        <v/>
      </c>
    </row>
    <row r="24" ht="15.75" customHeight="1">
      <c r="C24" s="7" t="str">
        <f t="shared" ref="C24:F24" si="20">IF($P24="Uz casnic",#REF!,"")</f>
        <v/>
      </c>
      <c r="D24" s="333" t="str">
        <f t="shared" si="20"/>
        <v/>
      </c>
      <c r="E24" s="5" t="str">
        <f t="shared" si="20"/>
        <v/>
      </c>
      <c r="F24" s="7" t="str">
        <f t="shared" si="20"/>
        <v/>
      </c>
    </row>
    <row r="25" ht="15.75" customHeight="1">
      <c r="C25" s="7" t="str">
        <f t="shared" ref="C25:F25" si="21">IF($P25="Uz casnic",#REF!,"")</f>
        <v/>
      </c>
      <c r="D25" s="333" t="str">
        <f t="shared" si="21"/>
        <v/>
      </c>
      <c r="E25" s="5" t="str">
        <f t="shared" si="21"/>
        <v/>
      </c>
      <c r="F25" s="7" t="str">
        <f t="shared" si="21"/>
        <v/>
      </c>
    </row>
    <row r="26" ht="15.75" customHeight="1">
      <c r="C26" s="7" t="str">
        <f t="shared" ref="C26:F26" si="22">IF($P26="Uz casnic",#REF!,"")</f>
        <v/>
      </c>
      <c r="D26" s="333" t="str">
        <f t="shared" si="22"/>
        <v/>
      </c>
      <c r="E26" s="5" t="str">
        <f t="shared" si="22"/>
        <v/>
      </c>
      <c r="F26" s="7" t="str">
        <f t="shared" si="22"/>
        <v/>
      </c>
    </row>
    <row r="27" ht="15.75" customHeight="1">
      <c r="C27" s="7" t="str">
        <f t="shared" ref="C27:F27" si="23">IF($P27="Uz casnic",#REF!,"")</f>
        <v/>
      </c>
      <c r="D27" s="333" t="str">
        <f t="shared" si="23"/>
        <v/>
      </c>
      <c r="E27" s="5" t="str">
        <f t="shared" si="23"/>
        <v/>
      </c>
      <c r="F27" s="7" t="str">
        <f t="shared" si="23"/>
        <v/>
      </c>
    </row>
    <row r="28" ht="15.75" customHeight="1">
      <c r="C28" s="7" t="str">
        <f t="shared" ref="C28:F28" si="24">IF($P28="Uz casnic",#REF!,"")</f>
        <v/>
      </c>
      <c r="D28" s="333" t="str">
        <f t="shared" si="24"/>
        <v/>
      </c>
      <c r="E28" s="5" t="str">
        <f t="shared" si="24"/>
        <v/>
      </c>
      <c r="F28" s="7" t="str">
        <f t="shared" si="24"/>
        <v/>
      </c>
    </row>
    <row r="29" ht="15.75" customHeight="1">
      <c r="C29" s="7" t="str">
        <f t="shared" ref="C29:F29" si="25">IF($P29="Uz casnic",#REF!,"")</f>
        <v/>
      </c>
      <c r="D29" s="333" t="str">
        <f t="shared" si="25"/>
        <v/>
      </c>
      <c r="E29" s="5" t="str">
        <f t="shared" si="25"/>
        <v/>
      </c>
      <c r="F29" s="7" t="str">
        <f t="shared" si="25"/>
        <v/>
      </c>
    </row>
    <row r="30" ht="15.75" customHeight="1">
      <c r="C30" s="7" t="str">
        <f t="shared" ref="C30:F30" si="26">IF($P30="Uz casnic",#REF!,"")</f>
        <v/>
      </c>
      <c r="D30" s="333" t="str">
        <f t="shared" si="26"/>
        <v/>
      </c>
      <c r="E30" s="5" t="str">
        <f t="shared" si="26"/>
        <v/>
      </c>
      <c r="F30" s="7" t="str">
        <f t="shared" si="26"/>
        <v/>
      </c>
    </row>
    <row r="31" ht="15.75" customHeight="1">
      <c r="C31" s="7" t="str">
        <f t="shared" ref="C31:F31" si="27">IF($P31="Uz casnic",#REF!,"")</f>
        <v/>
      </c>
      <c r="D31" s="333" t="str">
        <f t="shared" si="27"/>
        <v/>
      </c>
      <c r="E31" s="5" t="str">
        <f t="shared" si="27"/>
        <v/>
      </c>
      <c r="F31" s="7" t="str">
        <f t="shared" si="27"/>
        <v/>
      </c>
    </row>
    <row r="32" ht="15.75" customHeight="1">
      <c r="C32" s="7" t="str">
        <f t="shared" ref="C32:F32" si="28">IF($P32="Uz casnic",#REF!,"")</f>
        <v/>
      </c>
      <c r="D32" s="333" t="str">
        <f t="shared" si="28"/>
        <v/>
      </c>
      <c r="E32" s="5" t="str">
        <f t="shared" si="28"/>
        <v/>
      </c>
      <c r="F32" s="7" t="str">
        <f t="shared" si="28"/>
        <v/>
      </c>
    </row>
    <row r="33" ht="15.75" customHeight="1">
      <c r="C33" s="7" t="str">
        <f t="shared" ref="C33:F33" si="29">IF($P33="Uz casnic",#REF!,"")</f>
        <v/>
      </c>
      <c r="D33" s="333" t="str">
        <f t="shared" si="29"/>
        <v/>
      </c>
      <c r="E33" s="5" t="str">
        <f t="shared" si="29"/>
        <v/>
      </c>
      <c r="F33" s="7" t="str">
        <f t="shared" si="29"/>
        <v/>
      </c>
    </row>
    <row r="34" ht="15.75" customHeight="1">
      <c r="C34" s="7" t="str">
        <f t="shared" ref="C34:F34" si="30">IF($P34="Uz casnic",#REF!,"")</f>
        <v/>
      </c>
      <c r="D34" s="333" t="str">
        <f t="shared" si="30"/>
        <v/>
      </c>
      <c r="E34" s="5" t="str">
        <f t="shared" si="30"/>
        <v/>
      </c>
      <c r="F34" s="7" t="str">
        <f t="shared" si="30"/>
        <v/>
      </c>
    </row>
    <row r="35" ht="15.75" customHeight="1">
      <c r="C35" s="7" t="str">
        <f t="shared" ref="C35:F35" si="31">IF($P35="Uz casnic",#REF!,"")</f>
        <v/>
      </c>
      <c r="D35" s="333" t="str">
        <f t="shared" si="31"/>
        <v/>
      </c>
      <c r="E35" s="5" t="str">
        <f t="shared" si="31"/>
        <v/>
      </c>
      <c r="F35" s="7" t="str">
        <f t="shared" si="31"/>
        <v/>
      </c>
    </row>
    <row r="36" ht="15.75" customHeight="1">
      <c r="C36" s="7" t="str">
        <f t="shared" ref="C36:F36" si="32">IF($P36="Uz casnic",#REF!,"")</f>
        <v/>
      </c>
      <c r="D36" s="333" t="str">
        <f t="shared" si="32"/>
        <v/>
      </c>
      <c r="E36" s="5" t="str">
        <f t="shared" si="32"/>
        <v/>
      </c>
      <c r="F36" s="7" t="str">
        <f t="shared" si="32"/>
        <v/>
      </c>
    </row>
    <row r="37" ht="15.75" customHeight="1">
      <c r="C37" s="7" t="str">
        <f t="shared" ref="C37:F37" si="33">IF($P37="Uz casnic",#REF!,"")</f>
        <v/>
      </c>
      <c r="D37" s="333" t="str">
        <f t="shared" si="33"/>
        <v/>
      </c>
      <c r="E37" s="5" t="str">
        <f t="shared" si="33"/>
        <v/>
      </c>
      <c r="F37" s="7" t="str">
        <f t="shared" si="33"/>
        <v/>
      </c>
    </row>
    <row r="38" ht="15.75" customHeight="1">
      <c r="C38" s="7" t="str">
        <f t="shared" ref="C38:F38" si="34">IF($P38="Uz casnic",#REF!,"")</f>
        <v/>
      </c>
      <c r="D38" s="333" t="str">
        <f t="shared" si="34"/>
        <v/>
      </c>
      <c r="E38" s="5" t="str">
        <f t="shared" si="34"/>
        <v/>
      </c>
      <c r="F38" s="7" t="str">
        <f t="shared" si="34"/>
        <v/>
      </c>
    </row>
    <row r="39" ht="15.75" customHeight="1">
      <c r="C39" s="7" t="str">
        <f t="shared" ref="C39:F39" si="35">IF($P39="Uz casnic",#REF!,"")</f>
        <v/>
      </c>
      <c r="D39" s="333" t="str">
        <f t="shared" si="35"/>
        <v/>
      </c>
      <c r="E39" s="5" t="str">
        <f t="shared" si="35"/>
        <v/>
      </c>
      <c r="F39" s="7" t="str">
        <f t="shared" si="35"/>
        <v/>
      </c>
    </row>
    <row r="40" ht="15.75" customHeight="1">
      <c r="C40" s="7" t="str">
        <f t="shared" ref="C40:F40" si="36">IF($P40="Uz casnic",#REF!,"")</f>
        <v/>
      </c>
      <c r="D40" s="333" t="str">
        <f t="shared" si="36"/>
        <v/>
      </c>
      <c r="E40" s="5" t="str">
        <f t="shared" si="36"/>
        <v/>
      </c>
      <c r="F40" s="7" t="str">
        <f t="shared" si="36"/>
        <v/>
      </c>
    </row>
    <row r="41" ht="15.75" customHeight="1">
      <c r="C41" s="7" t="str">
        <f t="shared" ref="C41:F41" si="37">IF($P41="Uz casnic",#REF!,"")</f>
        <v/>
      </c>
      <c r="D41" s="333" t="str">
        <f t="shared" si="37"/>
        <v/>
      </c>
      <c r="E41" s="5" t="str">
        <f t="shared" si="37"/>
        <v/>
      </c>
      <c r="F41" s="7" t="str">
        <f t="shared" si="37"/>
        <v/>
      </c>
    </row>
    <row r="42" ht="15.75" customHeight="1">
      <c r="C42" s="7" t="str">
        <f t="shared" ref="C42:F42" si="38">IF($P42="Uz casnic",#REF!,"")</f>
        <v/>
      </c>
      <c r="D42" s="333" t="str">
        <f t="shared" si="38"/>
        <v/>
      </c>
      <c r="E42" s="5" t="str">
        <f t="shared" si="38"/>
        <v/>
      </c>
      <c r="F42" s="7" t="str">
        <f t="shared" si="38"/>
        <v/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7" t="s">
        <v>407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Oleg Oala</dc:creator>
</cp:coreProperties>
</file>